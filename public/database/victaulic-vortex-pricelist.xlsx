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cuments\Online-Sync\Victaulic\Projects\Vortex\estimator-tool\Development\price-lists\"/>
    </mc:Choice>
  </mc:AlternateContent>
  <xr:revisionPtr revIDLastSave="0" documentId="13_ncr:1_{4F4C8AD7-1CC1-4C0B-81B9-1C7CB3FAA92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onfigurator (2)" sheetId="15" r:id="rId1"/>
    <sheet name="2.5.2025 Configurator" sheetId="14" r:id="rId2"/>
    <sheet name="1.7.2026 Configurator" sheetId="13" r:id="rId3"/>
    <sheet name="10.28.2025 Configurator" sheetId="12" r:id="rId4"/>
    <sheet name="9.9.2025 Configurator" sheetId="10" r:id="rId5"/>
    <sheet name="8.19.2025 Configurator" sheetId="9" r:id="rId6"/>
    <sheet name="6.23.2025 Configurator" sheetId="8" r:id="rId7"/>
    <sheet name="4.28.2025 Configurator" sheetId="7" r:id="rId8"/>
    <sheet name="EMEA Updated 2025" sheetId="2" r:id="rId9"/>
    <sheet name="March 2025" sheetId="5" r:id="rId10"/>
    <sheet name="Updated" sheetId="1" r:id="rId11"/>
    <sheet name="Master" sheetId="3" r:id="rId12"/>
    <sheet name="Margin Analysis" sheetId="4" r:id="rId13"/>
    <sheet name="Sheet1" sheetId="6" r:id="rId14"/>
  </sheets>
  <definedNames>
    <definedName name="_xlnm._FilterDatabase" localSheetId="13" hidden="1">Sheet1!$A$1:$R$541</definedName>
    <definedName name="_xlnm.Print_Area" localSheetId="8">'EMEA Updated 2025'!$A$1:$L$195</definedName>
    <definedName name="_xlnm.Print_Area" localSheetId="9">'March 2025'!$A$1:$K$201</definedName>
    <definedName name="_xlnm.Print_Area" localSheetId="10">Updated!$A$1:$K$203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6" i="2" l="1"/>
  <c r="F196" i="5"/>
  <c r="E97" i="2"/>
  <c r="E98" i="2"/>
  <c r="E201" i="2"/>
  <c r="E200" i="2"/>
  <c r="E197" i="2"/>
  <c r="E196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73" i="2"/>
  <c r="E167" i="2"/>
  <c r="E168" i="2"/>
  <c r="E164" i="2"/>
  <c r="E163" i="2"/>
  <c r="E160" i="2"/>
  <c r="E149" i="2"/>
  <c r="E150" i="2"/>
  <c r="E151" i="2"/>
  <c r="E152" i="2"/>
  <c r="E153" i="2"/>
  <c r="E154" i="2"/>
  <c r="E155" i="2"/>
  <c r="E156" i="2"/>
  <c r="E148" i="2"/>
  <c r="E147" i="2"/>
  <c r="E146" i="2"/>
  <c r="E143" i="2"/>
  <c r="E142" i="2"/>
  <c r="E141" i="2"/>
  <c r="E137" i="2"/>
  <c r="E138" i="2"/>
  <c r="E136" i="2"/>
  <c r="E128" i="2"/>
  <c r="E127" i="2"/>
  <c r="E124" i="2"/>
  <c r="E123" i="2"/>
  <c r="E122" i="2"/>
  <c r="E118" i="2"/>
  <c r="E119" i="2"/>
  <c r="E117" i="2"/>
  <c r="E106" i="2"/>
  <c r="E107" i="2"/>
  <c r="E108" i="2"/>
  <c r="E109" i="2"/>
  <c r="E110" i="2"/>
  <c r="E111" i="2"/>
  <c r="E112" i="2"/>
  <c r="E113" i="2"/>
  <c r="E114" i="2"/>
  <c r="E105" i="2"/>
  <c r="E102" i="2"/>
  <c r="E101" i="2"/>
  <c r="J102" i="2" l="1"/>
  <c r="K102" i="2"/>
  <c r="L102" i="2"/>
  <c r="G105" i="2"/>
  <c r="H105" i="2" s="1"/>
  <c r="I105" i="2" s="1"/>
  <c r="J105" i="2"/>
  <c r="K105" i="2"/>
  <c r="L105" i="2"/>
  <c r="G106" i="2"/>
  <c r="H106" i="2" s="1"/>
  <c r="I106" i="2" s="1"/>
  <c r="J106" i="2"/>
  <c r="K106" i="2"/>
  <c r="L106" i="2"/>
  <c r="J93" i="2"/>
  <c r="K93" i="2"/>
  <c r="L93" i="2"/>
  <c r="G101" i="2"/>
  <c r="G97" i="2"/>
  <c r="E86" i="2"/>
  <c r="E85" i="2"/>
  <c r="E83" i="2"/>
  <c r="E81" i="2"/>
  <c r="E76" i="2"/>
  <c r="E75" i="2"/>
  <c r="E73" i="2"/>
  <c r="E72" i="2"/>
  <c r="E67" i="2"/>
  <c r="E66" i="2"/>
  <c r="E64" i="2"/>
  <c r="E63" i="2"/>
  <c r="E53" i="2"/>
  <c r="E54" i="2"/>
  <c r="E55" i="2"/>
  <c r="E56" i="2"/>
  <c r="E57" i="2"/>
  <c r="E58" i="2"/>
  <c r="E52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34" i="2"/>
  <c r="E31" i="2"/>
  <c r="E29" i="2"/>
  <c r="E28" i="2"/>
  <c r="E27" i="2"/>
  <c r="E25" i="2"/>
  <c r="E24" i="2"/>
  <c r="E23" i="2"/>
  <c r="E22" i="2"/>
  <c r="E20" i="2"/>
  <c r="E19" i="2"/>
  <c r="E18" i="2"/>
  <c r="E17" i="2"/>
  <c r="E15" i="2"/>
  <c r="E14" i="2"/>
  <c r="E12" i="2"/>
  <c r="E11" i="2"/>
  <c r="F53" i="5"/>
  <c r="G53" i="2" s="1"/>
  <c r="H53" i="2" s="1"/>
  <c r="I53" i="2" s="1"/>
  <c r="F54" i="5"/>
  <c r="G54" i="2" s="1"/>
  <c r="H54" i="2" s="1"/>
  <c r="I54" i="2" s="1"/>
  <c r="F55" i="5"/>
  <c r="G55" i="2" s="1"/>
  <c r="H55" i="2" s="1"/>
  <c r="I55" i="2" s="1"/>
  <c r="F56" i="5"/>
  <c r="G56" i="2" s="1"/>
  <c r="H56" i="2" s="1"/>
  <c r="I56" i="2" s="1"/>
  <c r="F57" i="5"/>
  <c r="G57" i="2" s="1"/>
  <c r="H57" i="2" s="1"/>
  <c r="I57" i="2" s="1"/>
  <c r="F58" i="5"/>
  <c r="G58" i="5" s="1"/>
  <c r="H58" i="5" s="1"/>
  <c r="F52" i="5"/>
  <c r="G52" i="2" s="1"/>
  <c r="H52" i="2" s="1"/>
  <c r="I52" i="2" s="1"/>
  <c r="F164" i="5"/>
  <c r="F165" i="5"/>
  <c r="F166" i="5"/>
  <c r="F167" i="5"/>
  <c r="F169" i="5"/>
  <c r="G169" i="5" s="1"/>
  <c r="H169" i="5" s="1"/>
  <c r="F170" i="5"/>
  <c r="G170" i="5" s="1"/>
  <c r="H170" i="5" s="1"/>
  <c r="F163" i="5"/>
  <c r="G163" i="5" s="1"/>
  <c r="H163" i="5" s="1"/>
  <c r="F197" i="5"/>
  <c r="G196" i="5"/>
  <c r="H196" i="5" s="1"/>
  <c r="F174" i="5"/>
  <c r="G174" i="5" s="1"/>
  <c r="H174" i="5" s="1"/>
  <c r="F175" i="5"/>
  <c r="F176" i="5"/>
  <c r="F177" i="5"/>
  <c r="F178" i="5"/>
  <c r="G178" i="5" s="1"/>
  <c r="H178" i="5" s="1"/>
  <c r="F179" i="5"/>
  <c r="G179" i="5" s="1"/>
  <c r="H179" i="5" s="1"/>
  <c r="F180" i="5"/>
  <c r="F181" i="5"/>
  <c r="G181" i="5" s="1"/>
  <c r="H181" i="5" s="1"/>
  <c r="F182" i="5"/>
  <c r="F183" i="5"/>
  <c r="F184" i="5"/>
  <c r="F185" i="5"/>
  <c r="F186" i="5"/>
  <c r="G186" i="5" s="1"/>
  <c r="H186" i="5" s="1"/>
  <c r="F187" i="5"/>
  <c r="G187" i="5" s="1"/>
  <c r="H187" i="5" s="1"/>
  <c r="F188" i="5"/>
  <c r="F189" i="5"/>
  <c r="G189" i="5" s="1"/>
  <c r="H189" i="5" s="1"/>
  <c r="F190" i="5"/>
  <c r="G190" i="5" s="1"/>
  <c r="H190" i="5" s="1"/>
  <c r="F191" i="5"/>
  <c r="F192" i="5"/>
  <c r="F193" i="5"/>
  <c r="F173" i="5"/>
  <c r="G173" i="5" s="1"/>
  <c r="H173" i="5" s="1"/>
  <c r="F160" i="5"/>
  <c r="G160" i="5" s="1"/>
  <c r="H160" i="5" s="1"/>
  <c r="F159" i="5"/>
  <c r="F149" i="5"/>
  <c r="F150" i="5"/>
  <c r="F152" i="5"/>
  <c r="F153" i="5"/>
  <c r="F154" i="5"/>
  <c r="F155" i="5"/>
  <c r="G155" i="5" s="1"/>
  <c r="H155" i="5" s="1"/>
  <c r="F156" i="5"/>
  <c r="G156" i="5" s="1"/>
  <c r="H156" i="5" s="1"/>
  <c r="F157" i="5"/>
  <c r="F147" i="5"/>
  <c r="F146" i="5"/>
  <c r="G146" i="5" s="1"/>
  <c r="H146" i="5" s="1"/>
  <c r="F137" i="5"/>
  <c r="F138" i="5"/>
  <c r="F136" i="5"/>
  <c r="F131" i="5"/>
  <c r="G131" i="5" s="1"/>
  <c r="H131" i="5" s="1"/>
  <c r="F128" i="5"/>
  <c r="G128" i="5" s="1"/>
  <c r="H128" i="5" s="1"/>
  <c r="F127" i="5"/>
  <c r="F123" i="5"/>
  <c r="F124" i="5"/>
  <c r="F122" i="5"/>
  <c r="F106" i="5"/>
  <c r="F107" i="5"/>
  <c r="F108" i="5"/>
  <c r="G108" i="5" s="1"/>
  <c r="H108" i="5" s="1"/>
  <c r="F109" i="5"/>
  <c r="G109" i="5" s="1"/>
  <c r="H109" i="5" s="1"/>
  <c r="F110" i="5"/>
  <c r="G110" i="5" s="1"/>
  <c r="H110" i="5" s="1"/>
  <c r="F111" i="5"/>
  <c r="F112" i="5"/>
  <c r="G112" i="5" s="1"/>
  <c r="H112" i="5" s="1"/>
  <c r="F113" i="5"/>
  <c r="F114" i="5"/>
  <c r="F105" i="5"/>
  <c r="F102" i="5"/>
  <c r="F101" i="5"/>
  <c r="G102" i="2" s="1"/>
  <c r="H102" i="2" s="1"/>
  <c r="I102" i="2" s="1"/>
  <c r="F98" i="5"/>
  <c r="F97" i="5"/>
  <c r="G98" i="2" s="1"/>
  <c r="H98" i="2" s="1"/>
  <c r="I98" i="2" s="1"/>
  <c r="F90" i="5"/>
  <c r="G90" i="2" s="1"/>
  <c r="H90" i="2" s="1"/>
  <c r="I90" i="2" s="1"/>
  <c r="F91" i="5"/>
  <c r="G91" i="2" s="1"/>
  <c r="H91" i="2" s="1"/>
  <c r="I91" i="2" s="1"/>
  <c r="F92" i="5"/>
  <c r="G92" i="2" s="1"/>
  <c r="H92" i="2" s="1"/>
  <c r="I92" i="2" s="1"/>
  <c r="F93" i="5"/>
  <c r="G93" i="5" s="1"/>
  <c r="H93" i="5" s="1"/>
  <c r="F89" i="5"/>
  <c r="G89" i="2" s="1"/>
  <c r="H89" i="2" s="1"/>
  <c r="I89" i="2" s="1"/>
  <c r="F86" i="5"/>
  <c r="G86" i="2" s="1"/>
  <c r="H86" i="2" s="1"/>
  <c r="I86" i="2" s="1"/>
  <c r="F85" i="5"/>
  <c r="G85" i="2" s="1"/>
  <c r="H85" i="2" s="1"/>
  <c r="I85" i="2" s="1"/>
  <c r="F35" i="5"/>
  <c r="G35" i="5" s="1"/>
  <c r="H35" i="5" s="1"/>
  <c r="F36" i="5"/>
  <c r="G36" i="2" s="1"/>
  <c r="H36" i="2" s="1"/>
  <c r="I36" i="2" s="1"/>
  <c r="F37" i="5"/>
  <c r="G37" i="2" s="1"/>
  <c r="H37" i="2" s="1"/>
  <c r="I37" i="2" s="1"/>
  <c r="F38" i="5"/>
  <c r="G38" i="2" s="1"/>
  <c r="H38" i="2" s="1"/>
  <c r="I38" i="2" s="1"/>
  <c r="F39" i="5"/>
  <c r="G39" i="2" s="1"/>
  <c r="H39" i="2" s="1"/>
  <c r="I39" i="2" s="1"/>
  <c r="F40" i="5"/>
  <c r="G40" i="5" s="1"/>
  <c r="H40" i="5" s="1"/>
  <c r="F41" i="5"/>
  <c r="G41" i="5" s="1"/>
  <c r="H41" i="5" s="1"/>
  <c r="F42" i="5"/>
  <c r="G42" i="5" s="1"/>
  <c r="H42" i="5" s="1"/>
  <c r="F43" i="5"/>
  <c r="G43" i="2" s="1"/>
  <c r="H43" i="2" s="1"/>
  <c r="I43" i="2" s="1"/>
  <c r="F44" i="5"/>
  <c r="G44" i="2" s="1"/>
  <c r="H44" i="2" s="1"/>
  <c r="I44" i="2" s="1"/>
  <c r="F45" i="5"/>
  <c r="G45" i="2" s="1"/>
  <c r="H45" i="2" s="1"/>
  <c r="I45" i="2" s="1"/>
  <c r="F46" i="5"/>
  <c r="G46" i="2" s="1"/>
  <c r="H46" i="2" s="1"/>
  <c r="I46" i="2" s="1"/>
  <c r="F47" i="5"/>
  <c r="G47" i="2" s="1"/>
  <c r="H47" i="2" s="1"/>
  <c r="I47" i="2" s="1"/>
  <c r="F48" i="5"/>
  <c r="G48" i="5" s="1"/>
  <c r="H48" i="5" s="1"/>
  <c r="F49" i="5"/>
  <c r="G49" i="5" s="1"/>
  <c r="H49" i="5" s="1"/>
  <c r="F34" i="5"/>
  <c r="G34" i="2" s="1"/>
  <c r="H34" i="2" s="1"/>
  <c r="I34" i="2" s="1"/>
  <c r="F31" i="5"/>
  <c r="G31" i="5" s="1"/>
  <c r="H31" i="5" s="1"/>
  <c r="F29" i="5"/>
  <c r="G29" i="2" s="1"/>
  <c r="H29" i="2" s="1"/>
  <c r="I29" i="2" s="1"/>
  <c r="F28" i="5"/>
  <c r="G28" i="2" s="1"/>
  <c r="H28" i="2" s="1"/>
  <c r="I28" i="2" s="1"/>
  <c r="F27" i="5"/>
  <c r="G27" i="2" s="1"/>
  <c r="H27" i="2" s="1"/>
  <c r="I27" i="2" s="1"/>
  <c r="F25" i="5"/>
  <c r="G25" i="5" s="1"/>
  <c r="H25" i="5" s="1"/>
  <c r="F24" i="5"/>
  <c r="G24" i="5" s="1"/>
  <c r="H24" i="5" s="1"/>
  <c r="F23" i="5"/>
  <c r="G23" i="5" s="1"/>
  <c r="H23" i="5" s="1"/>
  <c r="F22" i="5"/>
  <c r="G22" i="2" s="1"/>
  <c r="H22" i="2" s="1"/>
  <c r="I22" i="2" s="1"/>
  <c r="F20" i="5"/>
  <c r="G20" i="5" s="1"/>
  <c r="H20" i="5" s="1"/>
  <c r="F19" i="5"/>
  <c r="G19" i="2" s="1"/>
  <c r="H19" i="2" s="1"/>
  <c r="I19" i="2" s="1"/>
  <c r="F18" i="5"/>
  <c r="G18" i="2" s="1"/>
  <c r="H18" i="2" s="1"/>
  <c r="I18" i="2" s="1"/>
  <c r="F17" i="5"/>
  <c r="G17" i="2" s="1"/>
  <c r="H17" i="2" s="1"/>
  <c r="I17" i="2" s="1"/>
  <c r="F15" i="5"/>
  <c r="G15" i="5" s="1"/>
  <c r="H15" i="5" s="1"/>
  <c r="F14" i="5"/>
  <c r="G14" i="5" s="1"/>
  <c r="H14" i="5" s="1"/>
  <c r="F12" i="5"/>
  <c r="G12" i="2" s="1"/>
  <c r="H12" i="2" s="1"/>
  <c r="I12" i="2" s="1"/>
  <c r="F11" i="5"/>
  <c r="G11" i="5" s="1"/>
  <c r="H11" i="5" s="1"/>
  <c r="K213" i="5"/>
  <c r="J213" i="5"/>
  <c r="I213" i="5"/>
  <c r="G213" i="5"/>
  <c r="H213" i="5" s="1"/>
  <c r="K212" i="5"/>
  <c r="J212" i="5"/>
  <c r="I212" i="5"/>
  <c r="G212" i="5"/>
  <c r="H212" i="5" s="1"/>
  <c r="K211" i="5"/>
  <c r="J211" i="5"/>
  <c r="I211" i="5"/>
  <c r="G211" i="5"/>
  <c r="H211" i="5" s="1"/>
  <c r="K210" i="5"/>
  <c r="J210" i="5"/>
  <c r="I210" i="5"/>
  <c r="G210" i="5"/>
  <c r="H210" i="5" s="1"/>
  <c r="K209" i="5"/>
  <c r="J209" i="5"/>
  <c r="I209" i="5"/>
  <c r="G209" i="5"/>
  <c r="H209" i="5" s="1"/>
  <c r="K208" i="5"/>
  <c r="J208" i="5"/>
  <c r="I208" i="5"/>
  <c r="G208" i="5"/>
  <c r="H208" i="5" s="1"/>
  <c r="K207" i="5"/>
  <c r="J207" i="5"/>
  <c r="I207" i="5"/>
  <c r="G207" i="5"/>
  <c r="H207" i="5" s="1"/>
  <c r="K206" i="5"/>
  <c r="J206" i="5"/>
  <c r="I206" i="5"/>
  <c r="G206" i="5"/>
  <c r="H206" i="5" s="1"/>
  <c r="K201" i="5"/>
  <c r="J201" i="5"/>
  <c r="I201" i="5"/>
  <c r="H201" i="5"/>
  <c r="G201" i="5"/>
  <c r="K200" i="5"/>
  <c r="J200" i="5"/>
  <c r="I200" i="5"/>
  <c r="G200" i="5"/>
  <c r="H200" i="5" s="1"/>
  <c r="K197" i="5"/>
  <c r="J197" i="5"/>
  <c r="I197" i="5"/>
  <c r="G197" i="5"/>
  <c r="H197" i="5" s="1"/>
  <c r="K196" i="5"/>
  <c r="J196" i="5"/>
  <c r="I196" i="5"/>
  <c r="K193" i="5"/>
  <c r="J193" i="5"/>
  <c r="I193" i="5"/>
  <c r="G193" i="5"/>
  <c r="H193" i="5" s="1"/>
  <c r="K192" i="5"/>
  <c r="J192" i="5"/>
  <c r="I192" i="5"/>
  <c r="G192" i="5"/>
  <c r="H192" i="5" s="1"/>
  <c r="K191" i="5"/>
  <c r="J191" i="5"/>
  <c r="I191" i="5"/>
  <c r="G191" i="5"/>
  <c r="H191" i="5" s="1"/>
  <c r="K190" i="5"/>
  <c r="J190" i="5"/>
  <c r="I190" i="5"/>
  <c r="K189" i="5"/>
  <c r="J189" i="5"/>
  <c r="I189" i="5"/>
  <c r="K188" i="5"/>
  <c r="J188" i="5"/>
  <c r="I188" i="5"/>
  <c r="G188" i="5"/>
  <c r="H188" i="5" s="1"/>
  <c r="K187" i="5"/>
  <c r="J187" i="5"/>
  <c r="I187" i="5"/>
  <c r="K186" i="5"/>
  <c r="J186" i="5"/>
  <c r="I186" i="5"/>
  <c r="K185" i="5"/>
  <c r="J185" i="5"/>
  <c r="I185" i="5"/>
  <c r="G185" i="5"/>
  <c r="H185" i="5" s="1"/>
  <c r="K184" i="5"/>
  <c r="J184" i="5"/>
  <c r="I184" i="5"/>
  <c r="G184" i="5"/>
  <c r="H184" i="5" s="1"/>
  <c r="K183" i="5"/>
  <c r="J183" i="5"/>
  <c r="I183" i="5"/>
  <c r="G183" i="5"/>
  <c r="H183" i="5" s="1"/>
  <c r="K182" i="5"/>
  <c r="J182" i="5"/>
  <c r="I182" i="5"/>
  <c r="G182" i="5"/>
  <c r="H182" i="5" s="1"/>
  <c r="K181" i="5"/>
  <c r="J181" i="5"/>
  <c r="I181" i="5"/>
  <c r="K180" i="5"/>
  <c r="J180" i="5"/>
  <c r="I180" i="5"/>
  <c r="G180" i="5"/>
  <c r="H180" i="5" s="1"/>
  <c r="K179" i="5"/>
  <c r="J179" i="5"/>
  <c r="I179" i="5"/>
  <c r="K178" i="5"/>
  <c r="J178" i="5"/>
  <c r="I178" i="5"/>
  <c r="K177" i="5"/>
  <c r="J177" i="5"/>
  <c r="I177" i="5"/>
  <c r="G177" i="5"/>
  <c r="H177" i="5" s="1"/>
  <c r="K176" i="5"/>
  <c r="J176" i="5"/>
  <c r="I176" i="5"/>
  <c r="G176" i="5"/>
  <c r="H176" i="5" s="1"/>
  <c r="K175" i="5"/>
  <c r="J175" i="5"/>
  <c r="I175" i="5"/>
  <c r="G175" i="5"/>
  <c r="H175" i="5" s="1"/>
  <c r="K174" i="5"/>
  <c r="J174" i="5"/>
  <c r="I174" i="5"/>
  <c r="K173" i="5"/>
  <c r="J173" i="5"/>
  <c r="I173" i="5"/>
  <c r="K170" i="5"/>
  <c r="J170" i="5"/>
  <c r="I170" i="5"/>
  <c r="K169" i="5"/>
  <c r="J169" i="5"/>
  <c r="I169" i="5"/>
  <c r="K168" i="5"/>
  <c r="J168" i="5"/>
  <c r="I168" i="5"/>
  <c r="K167" i="5"/>
  <c r="J167" i="5"/>
  <c r="I167" i="5"/>
  <c r="G167" i="5"/>
  <c r="H167" i="5" s="1"/>
  <c r="K166" i="5"/>
  <c r="J166" i="5"/>
  <c r="I166" i="5"/>
  <c r="G166" i="5"/>
  <c r="H166" i="5" s="1"/>
  <c r="K165" i="5"/>
  <c r="J165" i="5"/>
  <c r="I165" i="5"/>
  <c r="G165" i="5"/>
  <c r="H165" i="5" s="1"/>
  <c r="K164" i="5"/>
  <c r="J164" i="5"/>
  <c r="I164" i="5"/>
  <c r="G164" i="5"/>
  <c r="H164" i="5" s="1"/>
  <c r="K163" i="5"/>
  <c r="J163" i="5"/>
  <c r="I163" i="5"/>
  <c r="K160" i="5"/>
  <c r="J160" i="5"/>
  <c r="I160" i="5"/>
  <c r="K159" i="5"/>
  <c r="J159" i="5"/>
  <c r="I159" i="5"/>
  <c r="G159" i="5"/>
  <c r="H159" i="5" s="1"/>
  <c r="K157" i="5"/>
  <c r="J157" i="5"/>
  <c r="I157" i="5"/>
  <c r="G157" i="5"/>
  <c r="H157" i="5" s="1"/>
  <c r="K156" i="5"/>
  <c r="J156" i="5"/>
  <c r="I156" i="5"/>
  <c r="K155" i="5"/>
  <c r="J155" i="5"/>
  <c r="I155" i="5"/>
  <c r="K154" i="5"/>
  <c r="J154" i="5"/>
  <c r="I154" i="5"/>
  <c r="G154" i="5"/>
  <c r="H154" i="5" s="1"/>
  <c r="K153" i="5"/>
  <c r="J153" i="5"/>
  <c r="I153" i="5"/>
  <c r="G153" i="5"/>
  <c r="H153" i="5" s="1"/>
  <c r="K152" i="5"/>
  <c r="J152" i="5"/>
  <c r="I152" i="5"/>
  <c r="G152" i="5"/>
  <c r="H152" i="5" s="1"/>
  <c r="K151" i="5"/>
  <c r="J151" i="5"/>
  <c r="I151" i="5"/>
  <c r="K150" i="5"/>
  <c r="J150" i="5"/>
  <c r="I150" i="5"/>
  <c r="G150" i="5"/>
  <c r="H150" i="5" s="1"/>
  <c r="K149" i="5"/>
  <c r="J149" i="5"/>
  <c r="I149" i="5"/>
  <c r="G149" i="5"/>
  <c r="H149" i="5" s="1"/>
  <c r="K148" i="5"/>
  <c r="J148" i="5"/>
  <c r="I148" i="5"/>
  <c r="K147" i="5"/>
  <c r="J147" i="5"/>
  <c r="I147" i="5"/>
  <c r="G147" i="5"/>
  <c r="H147" i="5" s="1"/>
  <c r="K146" i="5"/>
  <c r="J146" i="5"/>
  <c r="I146" i="5"/>
  <c r="K143" i="5"/>
  <c r="J143" i="5"/>
  <c r="I143" i="5"/>
  <c r="K142" i="5"/>
  <c r="J142" i="5"/>
  <c r="I142" i="5"/>
  <c r="K141" i="5"/>
  <c r="J141" i="5"/>
  <c r="I141" i="5"/>
  <c r="K138" i="5"/>
  <c r="J138" i="5"/>
  <c r="I138" i="5"/>
  <c r="H138" i="5"/>
  <c r="G138" i="5"/>
  <c r="K137" i="5"/>
  <c r="J137" i="5"/>
  <c r="I137" i="5"/>
  <c r="G137" i="5"/>
  <c r="H137" i="5" s="1"/>
  <c r="K136" i="5"/>
  <c r="J136" i="5"/>
  <c r="I136" i="5"/>
  <c r="G136" i="5"/>
  <c r="H136" i="5" s="1"/>
  <c r="K131" i="5"/>
  <c r="J131" i="5"/>
  <c r="I131" i="5"/>
  <c r="K128" i="5"/>
  <c r="J128" i="5"/>
  <c r="I128" i="5"/>
  <c r="K127" i="5"/>
  <c r="J127" i="5"/>
  <c r="I127" i="5"/>
  <c r="G127" i="5"/>
  <c r="H127" i="5" s="1"/>
  <c r="K124" i="5"/>
  <c r="J124" i="5"/>
  <c r="I124" i="5"/>
  <c r="G124" i="5"/>
  <c r="H124" i="5" s="1"/>
  <c r="K123" i="5"/>
  <c r="J123" i="5"/>
  <c r="I123" i="5"/>
  <c r="G123" i="5"/>
  <c r="H123" i="5" s="1"/>
  <c r="K122" i="5"/>
  <c r="J122" i="5"/>
  <c r="I122" i="5"/>
  <c r="G122" i="5"/>
  <c r="H122" i="5" s="1"/>
  <c r="K119" i="5"/>
  <c r="J119" i="5"/>
  <c r="I119" i="5"/>
  <c r="K118" i="5"/>
  <c r="J118" i="5"/>
  <c r="I118" i="5"/>
  <c r="K117" i="5"/>
  <c r="J117" i="5"/>
  <c r="I117" i="5"/>
  <c r="K114" i="5"/>
  <c r="J114" i="5"/>
  <c r="I114" i="5"/>
  <c r="G114" i="5"/>
  <c r="H114" i="5" s="1"/>
  <c r="K113" i="5"/>
  <c r="J113" i="5"/>
  <c r="I113" i="5"/>
  <c r="G113" i="5"/>
  <c r="H113" i="5" s="1"/>
  <c r="K112" i="5"/>
  <c r="J112" i="5"/>
  <c r="I112" i="5"/>
  <c r="K111" i="5"/>
  <c r="J111" i="5"/>
  <c r="I111" i="5"/>
  <c r="G111" i="5"/>
  <c r="H111" i="5" s="1"/>
  <c r="K110" i="5"/>
  <c r="J110" i="5"/>
  <c r="I110" i="5"/>
  <c r="K109" i="5"/>
  <c r="J109" i="5"/>
  <c r="I109" i="5"/>
  <c r="K108" i="5"/>
  <c r="J108" i="5"/>
  <c r="I108" i="5"/>
  <c r="K107" i="5"/>
  <c r="J107" i="5"/>
  <c r="I107" i="5"/>
  <c r="G107" i="5"/>
  <c r="H107" i="5" s="1"/>
  <c r="K106" i="5"/>
  <c r="J106" i="5"/>
  <c r="I106" i="5"/>
  <c r="G106" i="5"/>
  <c r="H106" i="5" s="1"/>
  <c r="K105" i="5"/>
  <c r="J105" i="5"/>
  <c r="I105" i="5"/>
  <c r="G105" i="5"/>
  <c r="H105" i="5" s="1"/>
  <c r="K102" i="5"/>
  <c r="J102" i="5"/>
  <c r="I102" i="5"/>
  <c r="K101" i="5"/>
  <c r="J101" i="5"/>
  <c r="I101" i="5"/>
  <c r="K98" i="5"/>
  <c r="J98" i="5"/>
  <c r="I98" i="5"/>
  <c r="G98" i="5"/>
  <c r="H98" i="5" s="1"/>
  <c r="K97" i="5"/>
  <c r="J97" i="5"/>
  <c r="I97" i="5"/>
  <c r="G97" i="5"/>
  <c r="H97" i="5" s="1"/>
  <c r="K93" i="5"/>
  <c r="J93" i="5"/>
  <c r="I93" i="5"/>
  <c r="K92" i="5"/>
  <c r="J92" i="5"/>
  <c r="I92" i="5"/>
  <c r="G92" i="5"/>
  <c r="H92" i="5" s="1"/>
  <c r="K91" i="5"/>
  <c r="J91" i="5"/>
  <c r="I91" i="5"/>
  <c r="G91" i="5"/>
  <c r="H91" i="5" s="1"/>
  <c r="K90" i="5"/>
  <c r="J90" i="5"/>
  <c r="I90" i="5"/>
  <c r="G90" i="5"/>
  <c r="H90" i="5" s="1"/>
  <c r="K89" i="5"/>
  <c r="J89" i="5"/>
  <c r="I89" i="5"/>
  <c r="G89" i="5"/>
  <c r="H89" i="5" s="1"/>
  <c r="K86" i="5"/>
  <c r="J86" i="5"/>
  <c r="I86" i="5"/>
  <c r="K85" i="5"/>
  <c r="J85" i="5"/>
  <c r="I85" i="5"/>
  <c r="G85" i="5"/>
  <c r="H85" i="5" s="1"/>
  <c r="K83" i="5"/>
  <c r="J83" i="5"/>
  <c r="I83" i="5"/>
  <c r="K81" i="5"/>
  <c r="J81" i="5"/>
  <c r="I81" i="5"/>
  <c r="K76" i="5"/>
  <c r="J76" i="5"/>
  <c r="I76" i="5"/>
  <c r="K75" i="5"/>
  <c r="J75" i="5"/>
  <c r="I75" i="5"/>
  <c r="K73" i="5"/>
  <c r="J73" i="5"/>
  <c r="I73" i="5"/>
  <c r="K72" i="5"/>
  <c r="J72" i="5"/>
  <c r="I72" i="5"/>
  <c r="K67" i="5"/>
  <c r="J67" i="5"/>
  <c r="I67" i="5"/>
  <c r="K66" i="5"/>
  <c r="J66" i="5"/>
  <c r="I66" i="5"/>
  <c r="K64" i="5"/>
  <c r="J64" i="5"/>
  <c r="I64" i="5"/>
  <c r="K63" i="5"/>
  <c r="J63" i="5"/>
  <c r="I63" i="5"/>
  <c r="K58" i="5"/>
  <c r="J58" i="5"/>
  <c r="I58" i="5"/>
  <c r="K57" i="5"/>
  <c r="J57" i="5"/>
  <c r="I57" i="5"/>
  <c r="G57" i="5"/>
  <c r="H57" i="5" s="1"/>
  <c r="K56" i="5"/>
  <c r="J56" i="5"/>
  <c r="I56" i="5"/>
  <c r="G56" i="5"/>
  <c r="H56" i="5" s="1"/>
  <c r="K55" i="5"/>
  <c r="J55" i="5"/>
  <c r="I55" i="5"/>
  <c r="G55" i="5"/>
  <c r="H55" i="5" s="1"/>
  <c r="K54" i="5"/>
  <c r="J54" i="5"/>
  <c r="I54" i="5"/>
  <c r="G54" i="5"/>
  <c r="H54" i="5" s="1"/>
  <c r="K53" i="5"/>
  <c r="J53" i="5"/>
  <c r="I53" i="5"/>
  <c r="G53" i="5"/>
  <c r="H53" i="5" s="1"/>
  <c r="K52" i="5"/>
  <c r="J52" i="5"/>
  <c r="I52" i="5"/>
  <c r="G52" i="5"/>
  <c r="H52" i="5" s="1"/>
  <c r="K49" i="5"/>
  <c r="J49" i="5"/>
  <c r="I49" i="5"/>
  <c r="K48" i="5"/>
  <c r="J48" i="5"/>
  <c r="I48" i="5"/>
  <c r="K47" i="5"/>
  <c r="J47" i="5"/>
  <c r="I47" i="5"/>
  <c r="G47" i="5"/>
  <c r="H47" i="5" s="1"/>
  <c r="K46" i="5"/>
  <c r="J46" i="5"/>
  <c r="I46" i="5"/>
  <c r="G46" i="5"/>
  <c r="H46" i="5" s="1"/>
  <c r="K45" i="5"/>
  <c r="J45" i="5"/>
  <c r="I45" i="5"/>
  <c r="G45" i="5"/>
  <c r="H45" i="5" s="1"/>
  <c r="K44" i="5"/>
  <c r="J44" i="5"/>
  <c r="I44" i="5"/>
  <c r="K43" i="5"/>
  <c r="J43" i="5"/>
  <c r="I43" i="5"/>
  <c r="G43" i="5"/>
  <c r="H43" i="5" s="1"/>
  <c r="K42" i="5"/>
  <c r="J42" i="5"/>
  <c r="I42" i="5"/>
  <c r="K41" i="5"/>
  <c r="J41" i="5"/>
  <c r="I41" i="5"/>
  <c r="K40" i="5"/>
  <c r="J40" i="5"/>
  <c r="I40" i="5"/>
  <c r="K39" i="5"/>
  <c r="J39" i="5"/>
  <c r="I39" i="5"/>
  <c r="G39" i="5"/>
  <c r="H39" i="5" s="1"/>
  <c r="K38" i="5"/>
  <c r="J38" i="5"/>
  <c r="I38" i="5"/>
  <c r="G38" i="5"/>
  <c r="H38" i="5" s="1"/>
  <c r="K37" i="5"/>
  <c r="J37" i="5"/>
  <c r="I37" i="5"/>
  <c r="G37" i="5"/>
  <c r="H37" i="5" s="1"/>
  <c r="K36" i="5"/>
  <c r="J36" i="5"/>
  <c r="I36" i="5"/>
  <c r="K35" i="5"/>
  <c r="J35" i="5"/>
  <c r="I35" i="5"/>
  <c r="K34" i="5"/>
  <c r="J34" i="5"/>
  <c r="I34" i="5"/>
  <c r="G34" i="5"/>
  <c r="H34" i="5" s="1"/>
  <c r="K31" i="5"/>
  <c r="J31" i="5"/>
  <c r="I31" i="5"/>
  <c r="K29" i="5"/>
  <c r="J29" i="5"/>
  <c r="I29" i="5"/>
  <c r="K28" i="5"/>
  <c r="J28" i="5"/>
  <c r="I28" i="5"/>
  <c r="G28" i="5"/>
  <c r="H28" i="5" s="1"/>
  <c r="K27" i="5"/>
  <c r="J27" i="5"/>
  <c r="I27" i="5"/>
  <c r="G27" i="5"/>
  <c r="H27" i="5" s="1"/>
  <c r="K25" i="5"/>
  <c r="J25" i="5"/>
  <c r="I25" i="5"/>
  <c r="K24" i="5"/>
  <c r="J24" i="5"/>
  <c r="I24" i="5"/>
  <c r="K23" i="5"/>
  <c r="J23" i="5"/>
  <c r="I23" i="5"/>
  <c r="K22" i="5"/>
  <c r="J22" i="5"/>
  <c r="I22" i="5"/>
  <c r="G22" i="5"/>
  <c r="H22" i="5" s="1"/>
  <c r="K20" i="5"/>
  <c r="J20" i="5"/>
  <c r="I20" i="5"/>
  <c r="K19" i="5"/>
  <c r="J19" i="5"/>
  <c r="I19" i="5"/>
  <c r="G19" i="5"/>
  <c r="H19" i="5" s="1"/>
  <c r="K18" i="5"/>
  <c r="J18" i="5"/>
  <c r="I18" i="5"/>
  <c r="G18" i="5"/>
  <c r="H18" i="5" s="1"/>
  <c r="K17" i="5"/>
  <c r="J17" i="5"/>
  <c r="I17" i="5"/>
  <c r="G17" i="5"/>
  <c r="H17" i="5" s="1"/>
  <c r="K15" i="5"/>
  <c r="J15" i="5"/>
  <c r="I15" i="5"/>
  <c r="K14" i="5"/>
  <c r="J14" i="5"/>
  <c r="I14" i="5"/>
  <c r="K12" i="5"/>
  <c r="J12" i="5"/>
  <c r="I12" i="5"/>
  <c r="G12" i="5"/>
  <c r="H12" i="5" s="1"/>
  <c r="K11" i="5"/>
  <c r="J11" i="5"/>
  <c r="I11" i="5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F54" i="4"/>
  <c r="H53" i="4"/>
  <c r="F53" i="4"/>
  <c r="H52" i="4"/>
  <c r="F52" i="4"/>
  <c r="H51" i="4"/>
  <c r="F51" i="4"/>
  <c r="H50" i="4"/>
  <c r="F50" i="4"/>
  <c r="H49" i="4"/>
  <c r="F49" i="4"/>
  <c r="H48" i="4"/>
  <c r="F48" i="4"/>
  <c r="H47" i="4"/>
  <c r="F47" i="4"/>
  <c r="H46" i="4"/>
  <c r="F46" i="4"/>
  <c r="H45" i="4"/>
  <c r="F45" i="4"/>
  <c r="H44" i="4"/>
  <c r="F44" i="4"/>
  <c r="H43" i="4"/>
  <c r="F43" i="4"/>
  <c r="H42" i="4"/>
  <c r="F42" i="4"/>
  <c r="H41" i="4"/>
  <c r="F41" i="4"/>
  <c r="H40" i="4"/>
  <c r="F40" i="4"/>
  <c r="H39" i="4"/>
  <c r="F39" i="4"/>
  <c r="H38" i="4"/>
  <c r="F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F25" i="4"/>
  <c r="H24" i="4"/>
  <c r="F24" i="4"/>
  <c r="F23" i="4"/>
  <c r="F22" i="4"/>
  <c r="F21" i="4"/>
  <c r="F20" i="4"/>
  <c r="F19" i="4"/>
  <c r="F18" i="4"/>
  <c r="F17" i="4"/>
  <c r="F16" i="4"/>
  <c r="F15" i="4"/>
  <c r="F14" i="4"/>
  <c r="H13" i="4"/>
  <c r="F13" i="4"/>
  <c r="F12" i="4"/>
  <c r="F11" i="4"/>
  <c r="H10" i="4"/>
  <c r="F10" i="4"/>
  <c r="H9" i="4"/>
  <c r="F9" i="4"/>
  <c r="H8" i="4"/>
  <c r="F8" i="4"/>
  <c r="F7" i="4"/>
  <c r="F6" i="4"/>
  <c r="F5" i="4"/>
  <c r="G241" i="3"/>
  <c r="H241" i="3" s="1"/>
  <c r="H240" i="3"/>
  <c r="G240" i="3"/>
  <c r="G237" i="3"/>
  <c r="H237" i="3" s="1"/>
  <c r="H236" i="3"/>
  <c r="G236" i="3"/>
  <c r="G235" i="3"/>
  <c r="H235" i="3" s="1"/>
  <c r="H234" i="3"/>
  <c r="G234" i="3"/>
  <c r="G233" i="3"/>
  <c r="H233" i="3" s="1"/>
  <c r="H232" i="3"/>
  <c r="G232" i="3"/>
  <c r="G231" i="3"/>
  <c r="H231" i="3" s="1"/>
  <c r="G230" i="3"/>
  <c r="H230" i="3" s="1"/>
  <c r="G229" i="3"/>
  <c r="H229" i="3" s="1"/>
  <c r="H228" i="3"/>
  <c r="G228" i="3"/>
  <c r="G227" i="3"/>
  <c r="H227" i="3" s="1"/>
  <c r="H226" i="3"/>
  <c r="G226" i="3"/>
  <c r="G225" i="3"/>
  <c r="H225" i="3" s="1"/>
  <c r="H224" i="3"/>
  <c r="G224" i="3"/>
  <c r="G223" i="3"/>
  <c r="H223" i="3" s="1"/>
  <c r="H222" i="3"/>
  <c r="G222" i="3"/>
  <c r="G221" i="3"/>
  <c r="H221" i="3" s="1"/>
  <c r="H220" i="3"/>
  <c r="G220" i="3"/>
  <c r="G219" i="3"/>
  <c r="H219" i="3" s="1"/>
  <c r="H218" i="3"/>
  <c r="G218" i="3"/>
  <c r="G217" i="3"/>
  <c r="H217" i="3" s="1"/>
  <c r="H214" i="3"/>
  <c r="G214" i="3"/>
  <c r="G213" i="3"/>
  <c r="H213" i="3" s="1"/>
  <c r="G212" i="3"/>
  <c r="H212" i="3" s="1"/>
  <c r="G211" i="3"/>
  <c r="H211" i="3" s="1"/>
  <c r="H210" i="3"/>
  <c r="G210" i="3"/>
  <c r="G209" i="3"/>
  <c r="H209" i="3" s="1"/>
  <c r="H208" i="3"/>
  <c r="G208" i="3"/>
  <c r="G207" i="3"/>
  <c r="H207" i="3" s="1"/>
  <c r="H204" i="3"/>
  <c r="G204" i="3"/>
  <c r="G203" i="3"/>
  <c r="H203" i="3" s="1"/>
  <c r="J201" i="3"/>
  <c r="I201" i="3"/>
  <c r="G201" i="3"/>
  <c r="H201" i="3" s="1"/>
  <c r="J200" i="3"/>
  <c r="I200" i="3"/>
  <c r="G200" i="3"/>
  <c r="H200" i="3" s="1"/>
  <c r="J199" i="3"/>
  <c r="I199" i="3"/>
  <c r="G199" i="3"/>
  <c r="H199" i="3" s="1"/>
  <c r="J198" i="3"/>
  <c r="I198" i="3"/>
  <c r="G198" i="3"/>
  <c r="H198" i="3" s="1"/>
  <c r="J197" i="3"/>
  <c r="I197" i="3"/>
  <c r="G197" i="3"/>
  <c r="H197" i="3" s="1"/>
  <c r="J196" i="3"/>
  <c r="I196" i="3"/>
  <c r="G196" i="3"/>
  <c r="H196" i="3" s="1"/>
  <c r="J195" i="3"/>
  <c r="I195" i="3"/>
  <c r="G195" i="3"/>
  <c r="H195" i="3" s="1"/>
  <c r="J194" i="3"/>
  <c r="I194" i="3"/>
  <c r="G194" i="3"/>
  <c r="H194" i="3" s="1"/>
  <c r="J193" i="3"/>
  <c r="I193" i="3"/>
  <c r="G193" i="3"/>
  <c r="H193" i="3" s="1"/>
  <c r="J192" i="3"/>
  <c r="I192" i="3"/>
  <c r="G192" i="3"/>
  <c r="H192" i="3" s="1"/>
  <c r="J191" i="3"/>
  <c r="I191" i="3"/>
  <c r="J190" i="3"/>
  <c r="I190" i="3"/>
  <c r="J189" i="3"/>
  <c r="I189" i="3"/>
  <c r="H189" i="3"/>
  <c r="J188" i="3"/>
  <c r="I188" i="3"/>
  <c r="H188" i="3"/>
  <c r="J187" i="3"/>
  <c r="I187" i="3"/>
  <c r="H187" i="3"/>
  <c r="J186" i="3"/>
  <c r="I186" i="3"/>
  <c r="H186" i="3"/>
  <c r="J185" i="3"/>
  <c r="I185" i="3"/>
  <c r="H185" i="3"/>
  <c r="J184" i="3"/>
  <c r="I184" i="3"/>
  <c r="H184" i="3"/>
  <c r="J183" i="3"/>
  <c r="I183" i="3"/>
  <c r="H183" i="3"/>
  <c r="J182" i="3"/>
  <c r="I182" i="3"/>
  <c r="H182" i="3"/>
  <c r="J181" i="3"/>
  <c r="I181" i="3"/>
  <c r="J180" i="3"/>
  <c r="I180" i="3"/>
  <c r="J179" i="3"/>
  <c r="I179" i="3"/>
  <c r="G179" i="3"/>
  <c r="H179" i="3" s="1"/>
  <c r="J178" i="3"/>
  <c r="I178" i="3"/>
  <c r="G178" i="3"/>
  <c r="H178" i="3" s="1"/>
  <c r="J177" i="3"/>
  <c r="I177" i="3"/>
  <c r="G177" i="3"/>
  <c r="H177" i="3" s="1"/>
  <c r="J176" i="3"/>
  <c r="I176" i="3"/>
  <c r="G176" i="3"/>
  <c r="H176" i="3" s="1"/>
  <c r="J175" i="3"/>
  <c r="I175" i="3"/>
  <c r="G175" i="3"/>
  <c r="H175" i="3" s="1"/>
  <c r="J174" i="3"/>
  <c r="I174" i="3"/>
  <c r="G174" i="3"/>
  <c r="H174" i="3" s="1"/>
  <c r="J173" i="3"/>
  <c r="I173" i="3"/>
  <c r="G173" i="3"/>
  <c r="H173" i="3" s="1"/>
  <c r="J172" i="3"/>
  <c r="I172" i="3"/>
  <c r="G172" i="3"/>
  <c r="H172" i="3" s="1"/>
  <c r="J171" i="3"/>
  <c r="I171" i="3"/>
  <c r="J170" i="3"/>
  <c r="I170" i="3"/>
  <c r="J169" i="3"/>
  <c r="I169" i="3"/>
  <c r="G169" i="3"/>
  <c r="H169" i="3" s="1"/>
  <c r="J168" i="3"/>
  <c r="I168" i="3"/>
  <c r="G168" i="3"/>
  <c r="H168" i="3" s="1"/>
  <c r="J167" i="3"/>
  <c r="I167" i="3"/>
  <c r="G167" i="3"/>
  <c r="H167" i="3" s="1"/>
  <c r="J166" i="3"/>
  <c r="I166" i="3"/>
  <c r="G166" i="3"/>
  <c r="H166" i="3" s="1"/>
  <c r="J165" i="3"/>
  <c r="I165" i="3"/>
  <c r="G165" i="3"/>
  <c r="H165" i="3" s="1"/>
  <c r="J164" i="3"/>
  <c r="I164" i="3"/>
  <c r="G164" i="3"/>
  <c r="H164" i="3" s="1"/>
  <c r="J163" i="3"/>
  <c r="I163" i="3"/>
  <c r="G163" i="3"/>
  <c r="H163" i="3" s="1"/>
  <c r="J162" i="3"/>
  <c r="I162" i="3"/>
  <c r="G162" i="3"/>
  <c r="H162" i="3" s="1"/>
  <c r="J161" i="3"/>
  <c r="I161" i="3"/>
  <c r="J160" i="3"/>
  <c r="I160" i="3"/>
  <c r="J159" i="3"/>
  <c r="I159" i="3"/>
  <c r="J158" i="3"/>
  <c r="I158" i="3"/>
  <c r="J157" i="3"/>
  <c r="I157" i="3"/>
  <c r="G157" i="3"/>
  <c r="H157" i="3" s="1"/>
  <c r="J156" i="3"/>
  <c r="I156" i="3"/>
  <c r="J155" i="3"/>
  <c r="I155" i="3"/>
  <c r="J154" i="3"/>
  <c r="I154" i="3"/>
  <c r="G154" i="3"/>
  <c r="H154" i="3" s="1"/>
  <c r="J153" i="3"/>
  <c r="I153" i="3"/>
  <c r="G153" i="3"/>
  <c r="H153" i="3" s="1"/>
  <c r="J152" i="3"/>
  <c r="I152" i="3"/>
  <c r="J151" i="3"/>
  <c r="I151" i="3"/>
  <c r="J150" i="3"/>
  <c r="I150" i="3"/>
  <c r="G150" i="3"/>
  <c r="H150" i="3" s="1"/>
  <c r="J149" i="3"/>
  <c r="I149" i="3"/>
  <c r="G149" i="3"/>
  <c r="H149" i="3" s="1"/>
  <c r="J148" i="3"/>
  <c r="I148" i="3"/>
  <c r="G148" i="3"/>
  <c r="H148" i="3" s="1"/>
  <c r="J147" i="3"/>
  <c r="I147" i="3"/>
  <c r="G147" i="3"/>
  <c r="H147" i="3" s="1"/>
  <c r="J146" i="3"/>
  <c r="I146" i="3"/>
  <c r="G146" i="3"/>
  <c r="H146" i="3" s="1"/>
  <c r="J145" i="3"/>
  <c r="I145" i="3"/>
  <c r="G145" i="3"/>
  <c r="H145" i="3" s="1"/>
  <c r="J144" i="3"/>
  <c r="I144" i="3"/>
  <c r="G144" i="3"/>
  <c r="H144" i="3" s="1"/>
  <c r="J143" i="3"/>
  <c r="I143" i="3"/>
  <c r="G143" i="3"/>
  <c r="H143" i="3" s="1"/>
  <c r="J142" i="3"/>
  <c r="I142" i="3"/>
  <c r="J141" i="3"/>
  <c r="I141" i="3"/>
  <c r="J140" i="3"/>
  <c r="I140" i="3"/>
  <c r="J139" i="3"/>
  <c r="I139" i="3"/>
  <c r="J138" i="3"/>
  <c r="I138" i="3"/>
  <c r="J137" i="3"/>
  <c r="I137" i="3"/>
  <c r="J136" i="3"/>
  <c r="I136" i="3"/>
  <c r="J135" i="3"/>
  <c r="I135" i="3"/>
  <c r="G135" i="3"/>
  <c r="H135" i="3" s="1"/>
  <c r="J134" i="3"/>
  <c r="I134" i="3"/>
  <c r="H134" i="3"/>
  <c r="G134" i="3"/>
  <c r="J133" i="3"/>
  <c r="I133" i="3"/>
  <c r="G133" i="3"/>
  <c r="H133" i="3" s="1"/>
  <c r="J132" i="3"/>
  <c r="I132" i="3"/>
  <c r="H132" i="3"/>
  <c r="G132" i="3"/>
  <c r="J131" i="3"/>
  <c r="I131" i="3"/>
  <c r="G131" i="3"/>
  <c r="H131" i="3" s="1"/>
  <c r="J130" i="3"/>
  <c r="I130" i="3"/>
  <c r="H130" i="3"/>
  <c r="G130" i="3"/>
  <c r="J129" i="3"/>
  <c r="I129" i="3"/>
  <c r="G129" i="3"/>
  <c r="H129" i="3" s="1"/>
  <c r="J128" i="3"/>
  <c r="I128" i="3"/>
  <c r="H128" i="3"/>
  <c r="G128" i="3"/>
  <c r="J127" i="3"/>
  <c r="I127" i="3"/>
  <c r="J126" i="3"/>
  <c r="I126" i="3"/>
  <c r="N125" i="3"/>
  <c r="J125" i="3"/>
  <c r="I125" i="3"/>
  <c r="G125" i="3"/>
  <c r="H125" i="3" s="1"/>
  <c r="J124" i="3"/>
  <c r="I124" i="3"/>
  <c r="J123" i="3"/>
  <c r="I123" i="3"/>
  <c r="J122" i="3"/>
  <c r="I122" i="3"/>
  <c r="G122" i="3"/>
  <c r="H122" i="3" s="1"/>
  <c r="J121" i="3"/>
  <c r="I121" i="3"/>
  <c r="H121" i="3"/>
  <c r="G121" i="3"/>
  <c r="J120" i="3"/>
  <c r="I120" i="3"/>
  <c r="J119" i="3"/>
  <c r="I119" i="3"/>
  <c r="J118" i="3"/>
  <c r="I118" i="3"/>
  <c r="J117" i="3"/>
  <c r="I117" i="3"/>
  <c r="H117" i="3"/>
  <c r="G117" i="3"/>
  <c r="J116" i="3"/>
  <c r="I116" i="3"/>
  <c r="H116" i="3"/>
  <c r="G116" i="3"/>
  <c r="J115" i="3"/>
  <c r="I115" i="3"/>
  <c r="J114" i="3"/>
  <c r="I114" i="3"/>
  <c r="G114" i="3"/>
  <c r="H114" i="3" s="1"/>
  <c r="J113" i="3"/>
  <c r="I113" i="3"/>
  <c r="H113" i="3"/>
  <c r="G113" i="3"/>
  <c r="J112" i="3"/>
  <c r="I112" i="3"/>
  <c r="G112" i="3"/>
  <c r="H112" i="3" s="1"/>
  <c r="J111" i="3"/>
  <c r="I111" i="3"/>
  <c r="J110" i="3"/>
  <c r="I110" i="3"/>
  <c r="H110" i="3"/>
  <c r="G110" i="3"/>
  <c r="J109" i="3"/>
  <c r="I109" i="3"/>
  <c r="G109" i="3"/>
  <c r="H109" i="3" s="1"/>
  <c r="J108" i="3"/>
  <c r="I108" i="3"/>
  <c r="H108" i="3"/>
  <c r="G108" i="3"/>
  <c r="J107" i="3"/>
  <c r="I107" i="3"/>
  <c r="J106" i="3"/>
  <c r="I106" i="3"/>
  <c r="J105" i="3"/>
  <c r="I105" i="3"/>
  <c r="J104" i="3"/>
  <c r="I104" i="3"/>
  <c r="J103" i="3"/>
  <c r="I103" i="3"/>
  <c r="G103" i="3"/>
  <c r="H103" i="3" s="1"/>
  <c r="J102" i="3"/>
  <c r="I102" i="3"/>
  <c r="H102" i="3"/>
  <c r="G102" i="3"/>
  <c r="J101" i="3"/>
  <c r="I101" i="3"/>
  <c r="G101" i="3"/>
  <c r="H101" i="3" s="1"/>
  <c r="J100" i="3"/>
  <c r="I100" i="3"/>
  <c r="H100" i="3"/>
  <c r="G100" i="3"/>
  <c r="J99" i="3"/>
  <c r="I99" i="3"/>
  <c r="G99" i="3"/>
  <c r="H99" i="3" s="1"/>
  <c r="J98" i="3"/>
  <c r="I98" i="3"/>
  <c r="H98" i="3"/>
  <c r="G98" i="3"/>
  <c r="J97" i="3"/>
  <c r="I97" i="3"/>
  <c r="J96" i="3"/>
  <c r="I96" i="3"/>
  <c r="H96" i="3"/>
  <c r="G96" i="3"/>
  <c r="J95" i="3"/>
  <c r="I95" i="3"/>
  <c r="G95" i="3"/>
  <c r="H95" i="3" s="1"/>
  <c r="J94" i="3"/>
  <c r="I94" i="3"/>
  <c r="H94" i="3"/>
  <c r="G94" i="3"/>
  <c r="J93" i="3"/>
  <c r="I93" i="3"/>
  <c r="G93" i="3"/>
  <c r="H93" i="3" s="1"/>
  <c r="J92" i="3"/>
  <c r="I92" i="3"/>
  <c r="H92" i="3"/>
  <c r="G92" i="3"/>
  <c r="J91" i="3"/>
  <c r="I91" i="3"/>
  <c r="G91" i="3"/>
  <c r="H91" i="3" s="1"/>
  <c r="J90" i="3"/>
  <c r="I90" i="3"/>
  <c r="J89" i="3"/>
  <c r="I89" i="3"/>
  <c r="J88" i="3"/>
  <c r="I88" i="3"/>
  <c r="J87" i="3"/>
  <c r="I87" i="3"/>
  <c r="J86" i="3"/>
  <c r="I86" i="3"/>
  <c r="H86" i="3"/>
  <c r="G86" i="3"/>
  <c r="J85" i="3"/>
  <c r="I85" i="3"/>
  <c r="G85" i="3"/>
  <c r="H85" i="3" s="1"/>
  <c r="J84" i="3"/>
  <c r="I84" i="3"/>
  <c r="H84" i="3"/>
  <c r="G84" i="3"/>
  <c r="J83" i="3"/>
  <c r="I83" i="3"/>
  <c r="G83" i="3"/>
  <c r="H83" i="3" s="1"/>
  <c r="J82" i="3"/>
  <c r="I82" i="3"/>
  <c r="H82" i="3"/>
  <c r="G82" i="3"/>
  <c r="J81" i="3"/>
  <c r="I81" i="3"/>
  <c r="G81" i="3"/>
  <c r="H81" i="3" s="1"/>
  <c r="J80" i="3"/>
  <c r="I80" i="3"/>
  <c r="J79" i="3"/>
  <c r="I79" i="3"/>
  <c r="H79" i="3"/>
  <c r="G79" i="3"/>
  <c r="J78" i="3"/>
  <c r="I78" i="3"/>
  <c r="H78" i="3"/>
  <c r="G78" i="3"/>
  <c r="J77" i="3"/>
  <c r="I77" i="3"/>
  <c r="H77" i="3"/>
  <c r="G77" i="3"/>
  <c r="J76" i="3"/>
  <c r="I76" i="3"/>
  <c r="H76" i="3"/>
  <c r="G76" i="3"/>
  <c r="J75" i="3"/>
  <c r="I75" i="3"/>
  <c r="H75" i="3"/>
  <c r="G75" i="3"/>
  <c r="J74" i="3"/>
  <c r="I74" i="3"/>
  <c r="H74" i="3"/>
  <c r="G74" i="3"/>
  <c r="N74" i="3" s="1"/>
  <c r="J73" i="3"/>
  <c r="I73" i="3"/>
  <c r="J72" i="3"/>
  <c r="I72" i="3"/>
  <c r="J71" i="3"/>
  <c r="I71" i="3"/>
  <c r="J70" i="3"/>
  <c r="I70" i="3"/>
  <c r="J69" i="3"/>
  <c r="I69" i="3"/>
  <c r="H69" i="3"/>
  <c r="G69" i="3"/>
  <c r="J68" i="3"/>
  <c r="I68" i="3"/>
  <c r="H68" i="3"/>
  <c r="G68" i="3"/>
  <c r="J67" i="3"/>
  <c r="I67" i="3"/>
  <c r="H67" i="3"/>
  <c r="G67" i="3"/>
  <c r="J66" i="3"/>
  <c r="I66" i="3"/>
  <c r="H66" i="3"/>
  <c r="G66" i="3"/>
  <c r="J65" i="3"/>
  <c r="I65" i="3"/>
  <c r="H65" i="3"/>
  <c r="G65" i="3"/>
  <c r="J64" i="3"/>
  <c r="I64" i="3"/>
  <c r="H64" i="3"/>
  <c r="G64" i="3"/>
  <c r="J63" i="3"/>
  <c r="I63" i="3"/>
  <c r="H63" i="3"/>
  <c r="G63" i="3"/>
  <c r="J62" i="3"/>
  <c r="I62" i="3"/>
  <c r="J61" i="3"/>
  <c r="I61" i="3"/>
  <c r="J60" i="3"/>
  <c r="I60" i="3"/>
  <c r="H60" i="3"/>
  <c r="G60" i="3"/>
  <c r="J59" i="3"/>
  <c r="I59" i="3"/>
  <c r="H59" i="3"/>
  <c r="G59" i="3"/>
  <c r="J58" i="3"/>
  <c r="I58" i="3"/>
  <c r="H58" i="3"/>
  <c r="G58" i="3"/>
  <c r="J57" i="3"/>
  <c r="I57" i="3"/>
  <c r="H57" i="3"/>
  <c r="G57" i="3"/>
  <c r="J56" i="3"/>
  <c r="I56" i="3"/>
  <c r="H56" i="3"/>
  <c r="G56" i="3"/>
  <c r="J55" i="3"/>
  <c r="I55" i="3"/>
  <c r="H55" i="3"/>
  <c r="G55" i="3"/>
  <c r="J54" i="3"/>
  <c r="I54" i="3"/>
  <c r="H54" i="3"/>
  <c r="G54" i="3"/>
  <c r="J53" i="3"/>
  <c r="I53" i="3"/>
  <c r="H53" i="3"/>
  <c r="G53" i="3"/>
  <c r="J52" i="3"/>
  <c r="I52" i="3"/>
  <c r="H52" i="3"/>
  <c r="G52" i="3"/>
  <c r="J51" i="3"/>
  <c r="I51" i="3"/>
  <c r="H51" i="3"/>
  <c r="G51" i="3"/>
  <c r="J50" i="3"/>
  <c r="I50" i="3"/>
  <c r="J49" i="3"/>
  <c r="I49" i="3"/>
  <c r="J48" i="3"/>
  <c r="I48" i="3"/>
  <c r="H48" i="3"/>
  <c r="J47" i="3"/>
  <c r="I47" i="3"/>
  <c r="J46" i="3"/>
  <c r="I46" i="3"/>
  <c r="H46" i="3"/>
  <c r="J45" i="3"/>
  <c r="I45" i="3"/>
  <c r="H45" i="3"/>
  <c r="G45" i="3"/>
  <c r="J44" i="3"/>
  <c r="I44" i="3"/>
  <c r="H44" i="3"/>
  <c r="G44" i="3"/>
  <c r="J43" i="3"/>
  <c r="I43" i="3"/>
  <c r="H43" i="3"/>
  <c r="G43" i="3"/>
  <c r="J42" i="3"/>
  <c r="I42" i="3"/>
  <c r="H42" i="3"/>
  <c r="G42" i="3"/>
  <c r="J41" i="3"/>
  <c r="I41" i="3"/>
  <c r="H41" i="3"/>
  <c r="G41" i="3"/>
  <c r="J40" i="3"/>
  <c r="I40" i="3"/>
  <c r="H40" i="3"/>
  <c r="G40" i="3"/>
  <c r="J39" i="3"/>
  <c r="I39" i="3"/>
  <c r="H39" i="3"/>
  <c r="G39" i="3"/>
  <c r="J38" i="3"/>
  <c r="I38" i="3"/>
  <c r="J37" i="3"/>
  <c r="I37" i="3"/>
  <c r="H37" i="3"/>
  <c r="J36" i="3"/>
  <c r="I36" i="3"/>
  <c r="H36" i="3"/>
  <c r="J35" i="3"/>
  <c r="I35" i="3"/>
  <c r="H35" i="3"/>
  <c r="G35" i="3"/>
  <c r="J34" i="3"/>
  <c r="I34" i="3"/>
  <c r="H34" i="3"/>
  <c r="G34" i="3"/>
  <c r="J33" i="3"/>
  <c r="I33" i="3"/>
  <c r="H33" i="3"/>
  <c r="G33" i="3"/>
  <c r="J32" i="3"/>
  <c r="I32" i="3"/>
  <c r="H32" i="3"/>
  <c r="G32" i="3"/>
  <c r="J31" i="3"/>
  <c r="I31" i="3"/>
  <c r="J30" i="3"/>
  <c r="I30" i="3"/>
  <c r="G30" i="3"/>
  <c r="H30" i="3" s="1"/>
  <c r="J29" i="3"/>
  <c r="I29" i="3"/>
  <c r="G29" i="3"/>
  <c r="H29" i="3" s="1"/>
  <c r="J28" i="3"/>
  <c r="I28" i="3"/>
  <c r="G28" i="3"/>
  <c r="H28" i="3" s="1"/>
  <c r="J27" i="3"/>
  <c r="I27" i="3"/>
  <c r="G27" i="3"/>
  <c r="H27" i="3" s="1"/>
  <c r="J26" i="3"/>
  <c r="I26" i="3"/>
  <c r="G26" i="3"/>
  <c r="H26" i="3" s="1"/>
  <c r="J25" i="3"/>
  <c r="I25" i="3"/>
  <c r="G25" i="3"/>
  <c r="H25" i="3" s="1"/>
  <c r="J24" i="3"/>
  <c r="I24" i="3"/>
  <c r="G24" i="3"/>
  <c r="H24" i="3" s="1"/>
  <c r="J23" i="3"/>
  <c r="I23" i="3"/>
  <c r="G23" i="3"/>
  <c r="H23" i="3" s="1"/>
  <c r="J22" i="3"/>
  <c r="I22" i="3"/>
  <c r="J21" i="3"/>
  <c r="I21" i="3"/>
  <c r="H21" i="3"/>
  <c r="G21" i="3"/>
  <c r="J20" i="3"/>
  <c r="I20" i="3"/>
  <c r="H20" i="3"/>
  <c r="G20" i="3"/>
  <c r="J19" i="3"/>
  <c r="I19" i="3"/>
  <c r="H19" i="3"/>
  <c r="G19" i="3"/>
  <c r="J18" i="3"/>
  <c r="I18" i="3"/>
  <c r="H18" i="3"/>
  <c r="G18" i="3"/>
  <c r="J17" i="3"/>
  <c r="I17" i="3"/>
  <c r="H17" i="3"/>
  <c r="G17" i="3"/>
  <c r="J16" i="3"/>
  <c r="I16" i="3"/>
  <c r="H16" i="3"/>
  <c r="G16" i="3"/>
  <c r="J15" i="3"/>
  <c r="I15" i="3"/>
  <c r="J14" i="3"/>
  <c r="I14" i="3"/>
  <c r="G14" i="3"/>
  <c r="H14" i="3" s="1"/>
  <c r="J13" i="3"/>
  <c r="I13" i="3"/>
  <c r="G13" i="3"/>
  <c r="H13" i="3" s="1"/>
  <c r="J12" i="3"/>
  <c r="I12" i="3"/>
  <c r="G12" i="3"/>
  <c r="H12" i="3" s="1"/>
  <c r="J11" i="3"/>
  <c r="I11" i="3"/>
  <c r="G11" i="3"/>
  <c r="H11" i="3" s="1"/>
  <c r="N6" i="3"/>
  <c r="L201" i="2"/>
  <c r="K201" i="2"/>
  <c r="J201" i="2"/>
  <c r="H201" i="2"/>
  <c r="I201" i="2" s="1"/>
  <c r="L200" i="2"/>
  <c r="K200" i="2"/>
  <c r="J200" i="2"/>
  <c r="H200" i="2"/>
  <c r="I200" i="2" s="1"/>
  <c r="L197" i="2"/>
  <c r="K197" i="2"/>
  <c r="J197" i="2"/>
  <c r="G197" i="2"/>
  <c r="H197" i="2" s="1"/>
  <c r="I197" i="2" s="1"/>
  <c r="L196" i="2"/>
  <c r="K196" i="2"/>
  <c r="J196" i="2"/>
  <c r="H196" i="2"/>
  <c r="I196" i="2" s="1"/>
  <c r="L193" i="2"/>
  <c r="K193" i="2"/>
  <c r="J193" i="2"/>
  <c r="G193" i="2"/>
  <c r="H193" i="2" s="1"/>
  <c r="I193" i="2" s="1"/>
  <c r="L192" i="2"/>
  <c r="K192" i="2"/>
  <c r="J192" i="2"/>
  <c r="G192" i="2"/>
  <c r="H192" i="2" s="1"/>
  <c r="I192" i="2" s="1"/>
  <c r="L191" i="2"/>
  <c r="K191" i="2"/>
  <c r="J191" i="2"/>
  <c r="G191" i="2"/>
  <c r="H191" i="2" s="1"/>
  <c r="I191" i="2" s="1"/>
  <c r="L190" i="2"/>
  <c r="K190" i="2"/>
  <c r="J190" i="2"/>
  <c r="G190" i="2"/>
  <c r="H190" i="2" s="1"/>
  <c r="I190" i="2" s="1"/>
  <c r="L189" i="2"/>
  <c r="K189" i="2"/>
  <c r="J189" i="2"/>
  <c r="H189" i="2"/>
  <c r="I189" i="2" s="1"/>
  <c r="G189" i="2"/>
  <c r="L188" i="2"/>
  <c r="K188" i="2"/>
  <c r="J188" i="2"/>
  <c r="G188" i="2"/>
  <c r="H188" i="2" s="1"/>
  <c r="I188" i="2" s="1"/>
  <c r="L187" i="2"/>
  <c r="K187" i="2"/>
  <c r="J187" i="2"/>
  <c r="G187" i="2"/>
  <c r="H187" i="2" s="1"/>
  <c r="I187" i="2" s="1"/>
  <c r="L186" i="2"/>
  <c r="K186" i="2"/>
  <c r="J186" i="2"/>
  <c r="G186" i="2"/>
  <c r="H186" i="2" s="1"/>
  <c r="I186" i="2" s="1"/>
  <c r="L185" i="2"/>
  <c r="K185" i="2"/>
  <c r="J185" i="2"/>
  <c r="G185" i="2"/>
  <c r="H185" i="2" s="1"/>
  <c r="I185" i="2" s="1"/>
  <c r="L184" i="2"/>
  <c r="K184" i="2"/>
  <c r="J184" i="2"/>
  <c r="G184" i="2"/>
  <c r="H184" i="2" s="1"/>
  <c r="I184" i="2" s="1"/>
  <c r="L183" i="2"/>
  <c r="K183" i="2"/>
  <c r="J183" i="2"/>
  <c r="G183" i="2"/>
  <c r="H183" i="2" s="1"/>
  <c r="I183" i="2" s="1"/>
  <c r="L182" i="2"/>
  <c r="K182" i="2"/>
  <c r="J182" i="2"/>
  <c r="G182" i="2"/>
  <c r="H182" i="2" s="1"/>
  <c r="I182" i="2" s="1"/>
  <c r="L181" i="2"/>
  <c r="K181" i="2"/>
  <c r="J181" i="2"/>
  <c r="G181" i="2"/>
  <c r="H181" i="2" s="1"/>
  <c r="I181" i="2" s="1"/>
  <c r="L180" i="2"/>
  <c r="K180" i="2"/>
  <c r="J180" i="2"/>
  <c r="G180" i="2"/>
  <c r="H180" i="2" s="1"/>
  <c r="I180" i="2" s="1"/>
  <c r="L179" i="2"/>
  <c r="K179" i="2"/>
  <c r="J179" i="2"/>
  <c r="G179" i="2"/>
  <c r="H179" i="2" s="1"/>
  <c r="I179" i="2" s="1"/>
  <c r="L178" i="2"/>
  <c r="K178" i="2"/>
  <c r="J178" i="2"/>
  <c r="G178" i="2"/>
  <c r="H178" i="2" s="1"/>
  <c r="I178" i="2" s="1"/>
  <c r="L177" i="2"/>
  <c r="K177" i="2"/>
  <c r="J177" i="2"/>
  <c r="G177" i="2"/>
  <c r="H177" i="2" s="1"/>
  <c r="I177" i="2" s="1"/>
  <c r="L176" i="2"/>
  <c r="K176" i="2"/>
  <c r="J176" i="2"/>
  <c r="G176" i="2"/>
  <c r="H176" i="2" s="1"/>
  <c r="I176" i="2" s="1"/>
  <c r="L175" i="2"/>
  <c r="K175" i="2"/>
  <c r="J175" i="2"/>
  <c r="G175" i="2"/>
  <c r="H175" i="2" s="1"/>
  <c r="I175" i="2" s="1"/>
  <c r="L174" i="2"/>
  <c r="K174" i="2"/>
  <c r="J174" i="2"/>
  <c r="G174" i="2"/>
  <c r="H174" i="2" s="1"/>
  <c r="I174" i="2" s="1"/>
  <c r="L173" i="2"/>
  <c r="K173" i="2"/>
  <c r="J173" i="2"/>
  <c r="G173" i="2"/>
  <c r="H173" i="2" s="1"/>
  <c r="I173" i="2" s="1"/>
  <c r="L170" i="2"/>
  <c r="K170" i="2"/>
  <c r="J170" i="2"/>
  <c r="G170" i="2"/>
  <c r="H170" i="2" s="1"/>
  <c r="I170" i="2" s="1"/>
  <c r="L169" i="2"/>
  <c r="K169" i="2"/>
  <c r="J169" i="2"/>
  <c r="G169" i="2"/>
  <c r="H169" i="2" s="1"/>
  <c r="I169" i="2" s="1"/>
  <c r="L168" i="2"/>
  <c r="K168" i="2"/>
  <c r="J168" i="2"/>
  <c r="G168" i="2" s="1"/>
  <c r="H168" i="2" s="1"/>
  <c r="I168" i="2" s="1"/>
  <c r="L167" i="2"/>
  <c r="K167" i="2"/>
  <c r="J167" i="2"/>
  <c r="G167" i="2"/>
  <c r="H167" i="2" s="1"/>
  <c r="I167" i="2" s="1"/>
  <c r="L166" i="2"/>
  <c r="K166" i="2"/>
  <c r="J166" i="2"/>
  <c r="G166" i="2"/>
  <c r="H166" i="2" s="1"/>
  <c r="I166" i="2" s="1"/>
  <c r="L165" i="2"/>
  <c r="K165" i="2"/>
  <c r="J165" i="2"/>
  <c r="H165" i="2"/>
  <c r="I165" i="2" s="1"/>
  <c r="G165" i="2"/>
  <c r="L164" i="2"/>
  <c r="K164" i="2"/>
  <c r="J164" i="2"/>
  <c r="G164" i="2"/>
  <c r="H164" i="2" s="1"/>
  <c r="I164" i="2" s="1"/>
  <c r="L163" i="2"/>
  <c r="K163" i="2"/>
  <c r="J163" i="2"/>
  <c r="G163" i="2"/>
  <c r="H163" i="2" s="1"/>
  <c r="I163" i="2" s="1"/>
  <c r="L160" i="2"/>
  <c r="K160" i="2"/>
  <c r="J160" i="2"/>
  <c r="H160" i="2"/>
  <c r="I160" i="2" s="1"/>
  <c r="G160" i="2"/>
  <c r="L159" i="2"/>
  <c r="K159" i="2"/>
  <c r="J159" i="2"/>
  <c r="G159" i="2"/>
  <c r="H159" i="2" s="1"/>
  <c r="I159" i="2" s="1"/>
  <c r="L157" i="2"/>
  <c r="K157" i="2"/>
  <c r="J157" i="2"/>
  <c r="G157" i="2"/>
  <c r="H157" i="2" s="1"/>
  <c r="I157" i="2" s="1"/>
  <c r="L156" i="2"/>
  <c r="K156" i="2"/>
  <c r="J156" i="2"/>
  <c r="G156" i="2"/>
  <c r="H156" i="2" s="1"/>
  <c r="I156" i="2" s="1"/>
  <c r="L155" i="2"/>
  <c r="K155" i="2"/>
  <c r="J155" i="2"/>
  <c r="G155" i="2"/>
  <c r="H155" i="2" s="1"/>
  <c r="I155" i="2" s="1"/>
  <c r="L154" i="2"/>
  <c r="K154" i="2"/>
  <c r="J154" i="2"/>
  <c r="G154" i="2"/>
  <c r="H154" i="2" s="1"/>
  <c r="I154" i="2" s="1"/>
  <c r="L153" i="2"/>
  <c r="K153" i="2"/>
  <c r="J153" i="2"/>
  <c r="G153" i="2"/>
  <c r="H153" i="2" s="1"/>
  <c r="I153" i="2" s="1"/>
  <c r="L152" i="2"/>
  <c r="K152" i="2"/>
  <c r="J152" i="2"/>
  <c r="G152" i="2"/>
  <c r="H152" i="2" s="1"/>
  <c r="I152" i="2" s="1"/>
  <c r="L151" i="2"/>
  <c r="K151" i="2"/>
  <c r="J151" i="2"/>
  <c r="G151" i="2" s="1"/>
  <c r="H151" i="2" s="1"/>
  <c r="I151" i="2" s="1"/>
  <c r="L150" i="2"/>
  <c r="K150" i="2"/>
  <c r="J150" i="2"/>
  <c r="G150" i="2"/>
  <c r="H150" i="2" s="1"/>
  <c r="I150" i="2" s="1"/>
  <c r="L149" i="2"/>
  <c r="K149" i="2"/>
  <c r="J149" i="2"/>
  <c r="G149" i="2"/>
  <c r="H149" i="2" s="1"/>
  <c r="I149" i="2" s="1"/>
  <c r="L148" i="2"/>
  <c r="K148" i="2"/>
  <c r="G148" i="2" s="1"/>
  <c r="H148" i="2" s="1"/>
  <c r="I148" i="2" s="1"/>
  <c r="J148" i="2"/>
  <c r="L147" i="2"/>
  <c r="K147" i="2"/>
  <c r="J147" i="2"/>
  <c r="G147" i="2"/>
  <c r="H147" i="2" s="1"/>
  <c r="I147" i="2" s="1"/>
  <c r="L146" i="2"/>
  <c r="K146" i="2"/>
  <c r="J146" i="2"/>
  <c r="G146" i="2"/>
  <c r="H146" i="2" s="1"/>
  <c r="I146" i="2" s="1"/>
  <c r="L143" i="2"/>
  <c r="K143" i="2"/>
  <c r="J143" i="2"/>
  <c r="G143" i="2" s="1"/>
  <c r="H143" i="2" s="1"/>
  <c r="I143" i="2" s="1"/>
  <c r="L142" i="2"/>
  <c r="K142" i="2"/>
  <c r="J142" i="2"/>
  <c r="G142" i="2" s="1"/>
  <c r="H142" i="2" s="1"/>
  <c r="I142" i="2" s="1"/>
  <c r="L141" i="2"/>
  <c r="K141" i="2"/>
  <c r="J141" i="2"/>
  <c r="G141" i="2" s="1"/>
  <c r="H141" i="2" s="1"/>
  <c r="I141" i="2" s="1"/>
  <c r="L138" i="2"/>
  <c r="K138" i="2"/>
  <c r="J138" i="2"/>
  <c r="H138" i="2"/>
  <c r="I138" i="2" s="1"/>
  <c r="L137" i="2"/>
  <c r="K137" i="2"/>
  <c r="J137" i="2"/>
  <c r="H137" i="2"/>
  <c r="I137" i="2" s="1"/>
  <c r="L136" i="2"/>
  <c r="K136" i="2"/>
  <c r="J136" i="2"/>
  <c r="H136" i="2"/>
  <c r="I136" i="2" s="1"/>
  <c r="L131" i="2"/>
  <c r="K131" i="2"/>
  <c r="J131" i="2"/>
  <c r="G131" i="2"/>
  <c r="H131" i="2" s="1"/>
  <c r="I131" i="2" s="1"/>
  <c r="L128" i="2"/>
  <c r="K128" i="2"/>
  <c r="J128" i="2"/>
  <c r="G128" i="2"/>
  <c r="H128" i="2" s="1"/>
  <c r="I128" i="2" s="1"/>
  <c r="L127" i="2"/>
  <c r="K127" i="2"/>
  <c r="J127" i="2"/>
  <c r="G127" i="2"/>
  <c r="H127" i="2" s="1"/>
  <c r="I127" i="2" s="1"/>
  <c r="L124" i="2"/>
  <c r="K124" i="2"/>
  <c r="J124" i="2"/>
  <c r="G124" i="2"/>
  <c r="H124" i="2" s="1"/>
  <c r="I124" i="2" s="1"/>
  <c r="L123" i="2"/>
  <c r="K123" i="2"/>
  <c r="J123" i="2"/>
  <c r="G123" i="2"/>
  <c r="H123" i="2" s="1"/>
  <c r="I123" i="2" s="1"/>
  <c r="L122" i="2"/>
  <c r="K122" i="2"/>
  <c r="J122" i="2"/>
  <c r="G122" i="2"/>
  <c r="H122" i="2" s="1"/>
  <c r="I122" i="2" s="1"/>
  <c r="L119" i="2"/>
  <c r="K119" i="2"/>
  <c r="J119" i="2"/>
  <c r="L118" i="2"/>
  <c r="K118" i="2"/>
  <c r="J118" i="2"/>
  <c r="L117" i="2"/>
  <c r="K117" i="2"/>
  <c r="J117" i="2"/>
  <c r="L114" i="2"/>
  <c r="K114" i="2"/>
  <c r="J114" i="2"/>
  <c r="G114" i="2"/>
  <c r="H114" i="2" s="1"/>
  <c r="I114" i="2" s="1"/>
  <c r="L113" i="2"/>
  <c r="K113" i="2"/>
  <c r="J113" i="2"/>
  <c r="G113" i="2"/>
  <c r="H113" i="2" s="1"/>
  <c r="I113" i="2" s="1"/>
  <c r="L112" i="2"/>
  <c r="K112" i="2"/>
  <c r="J112" i="2"/>
  <c r="G112" i="2"/>
  <c r="H112" i="2" s="1"/>
  <c r="I112" i="2" s="1"/>
  <c r="L111" i="2"/>
  <c r="K111" i="2"/>
  <c r="J111" i="2"/>
  <c r="G111" i="2"/>
  <c r="H111" i="2" s="1"/>
  <c r="I111" i="2" s="1"/>
  <c r="L110" i="2"/>
  <c r="K110" i="2"/>
  <c r="J110" i="2"/>
  <c r="G110" i="2"/>
  <c r="H110" i="2" s="1"/>
  <c r="I110" i="2" s="1"/>
  <c r="L109" i="2"/>
  <c r="K109" i="2"/>
  <c r="J109" i="2"/>
  <c r="G109" i="2"/>
  <c r="H109" i="2" s="1"/>
  <c r="I109" i="2" s="1"/>
  <c r="L108" i="2"/>
  <c r="K108" i="2"/>
  <c r="J108" i="2"/>
  <c r="G108" i="2"/>
  <c r="H108" i="2" s="1"/>
  <c r="I108" i="2" s="1"/>
  <c r="L107" i="2"/>
  <c r="K107" i="2"/>
  <c r="J107" i="2"/>
  <c r="G107" i="2"/>
  <c r="H107" i="2" s="1"/>
  <c r="I107" i="2" s="1"/>
  <c r="L101" i="2"/>
  <c r="K101" i="2"/>
  <c r="J101" i="2"/>
  <c r="L98" i="2"/>
  <c r="K98" i="2"/>
  <c r="J98" i="2"/>
  <c r="L97" i="2"/>
  <c r="K97" i="2"/>
  <c r="J97" i="2"/>
  <c r="H97" i="2"/>
  <c r="I97" i="2" s="1"/>
  <c r="L92" i="2"/>
  <c r="K92" i="2"/>
  <c r="J92" i="2"/>
  <c r="L91" i="2"/>
  <c r="K91" i="2"/>
  <c r="J91" i="2"/>
  <c r="L90" i="2"/>
  <c r="K90" i="2"/>
  <c r="J90" i="2"/>
  <c r="L89" i="2"/>
  <c r="K89" i="2"/>
  <c r="J89" i="2"/>
  <c r="L86" i="2"/>
  <c r="K86" i="2"/>
  <c r="J86" i="2"/>
  <c r="L85" i="2"/>
  <c r="K85" i="2"/>
  <c r="J85" i="2"/>
  <c r="L83" i="2"/>
  <c r="K83" i="2"/>
  <c r="J83" i="2"/>
  <c r="L81" i="2"/>
  <c r="K81" i="2"/>
  <c r="J81" i="2"/>
  <c r="L76" i="2"/>
  <c r="K76" i="2"/>
  <c r="J76" i="2"/>
  <c r="L75" i="2"/>
  <c r="K75" i="2"/>
  <c r="J75" i="2"/>
  <c r="L73" i="2"/>
  <c r="K73" i="2"/>
  <c r="J73" i="2"/>
  <c r="L72" i="2"/>
  <c r="K72" i="2"/>
  <c r="J72" i="2"/>
  <c r="L67" i="2"/>
  <c r="K67" i="2"/>
  <c r="J67" i="2"/>
  <c r="L66" i="2"/>
  <c r="K66" i="2"/>
  <c r="J66" i="2"/>
  <c r="L64" i="2"/>
  <c r="K64" i="2"/>
  <c r="J64" i="2"/>
  <c r="L63" i="2"/>
  <c r="K63" i="2"/>
  <c r="J63" i="2"/>
  <c r="L58" i="2"/>
  <c r="K58" i="2"/>
  <c r="J58" i="2"/>
  <c r="L57" i="2"/>
  <c r="K57" i="2"/>
  <c r="J57" i="2"/>
  <c r="L56" i="2"/>
  <c r="K56" i="2"/>
  <c r="J56" i="2"/>
  <c r="L55" i="2"/>
  <c r="K55" i="2"/>
  <c r="J55" i="2"/>
  <c r="L54" i="2"/>
  <c r="K54" i="2"/>
  <c r="J54" i="2"/>
  <c r="L53" i="2"/>
  <c r="K53" i="2"/>
  <c r="J53" i="2"/>
  <c r="L52" i="2"/>
  <c r="K52" i="2"/>
  <c r="J52" i="2"/>
  <c r="L49" i="2"/>
  <c r="K49" i="2"/>
  <c r="J49" i="2"/>
  <c r="L48" i="2"/>
  <c r="K48" i="2"/>
  <c r="J48" i="2"/>
  <c r="L47" i="2"/>
  <c r="K47" i="2"/>
  <c r="J47" i="2"/>
  <c r="L46" i="2"/>
  <c r="K46" i="2"/>
  <c r="J46" i="2"/>
  <c r="L45" i="2"/>
  <c r="K45" i="2"/>
  <c r="J45" i="2"/>
  <c r="L44" i="2"/>
  <c r="K44" i="2"/>
  <c r="J44" i="2"/>
  <c r="L43" i="2"/>
  <c r="K43" i="2"/>
  <c r="J43" i="2"/>
  <c r="L42" i="2"/>
  <c r="K42" i="2"/>
  <c r="J42" i="2"/>
  <c r="L41" i="2"/>
  <c r="K41" i="2"/>
  <c r="J41" i="2"/>
  <c r="L40" i="2"/>
  <c r="K40" i="2"/>
  <c r="J40" i="2"/>
  <c r="L39" i="2"/>
  <c r="K39" i="2"/>
  <c r="J39" i="2"/>
  <c r="L38" i="2"/>
  <c r="K38" i="2"/>
  <c r="J38" i="2"/>
  <c r="L37" i="2"/>
  <c r="K37" i="2"/>
  <c r="J37" i="2"/>
  <c r="L36" i="2"/>
  <c r="K36" i="2"/>
  <c r="J36" i="2"/>
  <c r="L35" i="2"/>
  <c r="K35" i="2"/>
  <c r="J35" i="2"/>
  <c r="L34" i="2"/>
  <c r="K34" i="2"/>
  <c r="J34" i="2"/>
  <c r="L31" i="2"/>
  <c r="K31" i="2"/>
  <c r="J31" i="2"/>
  <c r="L29" i="2"/>
  <c r="K29" i="2"/>
  <c r="J29" i="2"/>
  <c r="L28" i="2"/>
  <c r="K28" i="2"/>
  <c r="J28" i="2"/>
  <c r="L27" i="2"/>
  <c r="K27" i="2"/>
  <c r="J27" i="2"/>
  <c r="L25" i="2"/>
  <c r="K25" i="2"/>
  <c r="J25" i="2"/>
  <c r="L24" i="2"/>
  <c r="K24" i="2"/>
  <c r="J24" i="2"/>
  <c r="L23" i="2"/>
  <c r="K23" i="2"/>
  <c r="J23" i="2"/>
  <c r="L22" i="2"/>
  <c r="K22" i="2"/>
  <c r="J22" i="2"/>
  <c r="L20" i="2"/>
  <c r="K20" i="2"/>
  <c r="J20" i="2"/>
  <c r="L19" i="2"/>
  <c r="K19" i="2"/>
  <c r="J19" i="2"/>
  <c r="L18" i="2"/>
  <c r="K18" i="2"/>
  <c r="J18" i="2"/>
  <c r="L17" i="2"/>
  <c r="K17" i="2"/>
  <c r="J17" i="2"/>
  <c r="L15" i="2"/>
  <c r="K15" i="2"/>
  <c r="J15" i="2"/>
  <c r="L14" i="2"/>
  <c r="K14" i="2"/>
  <c r="J14" i="2"/>
  <c r="L12" i="2"/>
  <c r="K12" i="2"/>
  <c r="J12" i="2"/>
  <c r="L11" i="2"/>
  <c r="K11" i="2"/>
  <c r="J11" i="2"/>
  <c r="K215" i="1"/>
  <c r="J215" i="1"/>
  <c r="I215" i="1"/>
  <c r="G215" i="1"/>
  <c r="H215" i="1" s="1"/>
  <c r="K214" i="1"/>
  <c r="J214" i="1"/>
  <c r="I214" i="1"/>
  <c r="G214" i="1"/>
  <c r="H214" i="1" s="1"/>
  <c r="K213" i="1"/>
  <c r="J213" i="1"/>
  <c r="I213" i="1"/>
  <c r="G213" i="1"/>
  <c r="H213" i="1" s="1"/>
  <c r="K212" i="1"/>
  <c r="J212" i="1"/>
  <c r="I212" i="1"/>
  <c r="G212" i="1"/>
  <c r="H212" i="1" s="1"/>
  <c r="K211" i="1"/>
  <c r="J211" i="1"/>
  <c r="I211" i="1"/>
  <c r="G211" i="1"/>
  <c r="H211" i="1" s="1"/>
  <c r="K210" i="1"/>
  <c r="J210" i="1"/>
  <c r="I210" i="1"/>
  <c r="G210" i="1"/>
  <c r="H210" i="1" s="1"/>
  <c r="K209" i="1"/>
  <c r="J209" i="1"/>
  <c r="I209" i="1"/>
  <c r="G209" i="1"/>
  <c r="H209" i="1" s="1"/>
  <c r="K208" i="1"/>
  <c r="J208" i="1"/>
  <c r="I208" i="1"/>
  <c r="G208" i="1"/>
  <c r="H208" i="1" s="1"/>
  <c r="K203" i="1"/>
  <c r="J203" i="1"/>
  <c r="I203" i="1"/>
  <c r="G203" i="1"/>
  <c r="H203" i="1" s="1"/>
  <c r="K202" i="1"/>
  <c r="J202" i="1"/>
  <c r="I202" i="1"/>
  <c r="H202" i="1"/>
  <c r="G202" i="1"/>
  <c r="K199" i="1"/>
  <c r="J199" i="1"/>
  <c r="I199" i="1"/>
  <c r="F199" i="1"/>
  <c r="G199" i="1" s="1"/>
  <c r="H199" i="1" s="1"/>
  <c r="K198" i="1"/>
  <c r="J198" i="1"/>
  <c r="I198" i="1"/>
  <c r="G198" i="1"/>
  <c r="H198" i="1" s="1"/>
  <c r="F198" i="1"/>
  <c r="H15" i="4" s="1"/>
  <c r="K195" i="1"/>
  <c r="J195" i="1"/>
  <c r="I195" i="1"/>
  <c r="F195" i="1"/>
  <c r="G195" i="1" s="1"/>
  <c r="H195" i="1" s="1"/>
  <c r="K194" i="1"/>
  <c r="J194" i="1"/>
  <c r="I194" i="1"/>
  <c r="F194" i="1"/>
  <c r="G194" i="1" s="1"/>
  <c r="H194" i="1" s="1"/>
  <c r="K193" i="1"/>
  <c r="J193" i="1"/>
  <c r="I193" i="1"/>
  <c r="F193" i="1"/>
  <c r="G193" i="1" s="1"/>
  <c r="H193" i="1" s="1"/>
  <c r="K192" i="1"/>
  <c r="J192" i="1"/>
  <c r="I192" i="1"/>
  <c r="G192" i="1"/>
  <c r="H192" i="1" s="1"/>
  <c r="F192" i="1"/>
  <c r="K191" i="1"/>
  <c r="J191" i="1"/>
  <c r="I191" i="1"/>
  <c r="F191" i="1"/>
  <c r="G191" i="1" s="1"/>
  <c r="H191" i="1" s="1"/>
  <c r="K190" i="1"/>
  <c r="J190" i="1"/>
  <c r="I190" i="1"/>
  <c r="G190" i="1"/>
  <c r="H190" i="1" s="1"/>
  <c r="F190" i="1"/>
  <c r="K189" i="1"/>
  <c r="J189" i="1"/>
  <c r="I189" i="1"/>
  <c r="F189" i="1"/>
  <c r="G189" i="1" s="1"/>
  <c r="H189" i="1" s="1"/>
  <c r="K188" i="1"/>
  <c r="J188" i="1"/>
  <c r="I188" i="1"/>
  <c r="G188" i="1"/>
  <c r="H188" i="1" s="1"/>
  <c r="F188" i="1"/>
  <c r="K187" i="1"/>
  <c r="J187" i="1"/>
  <c r="I187" i="1"/>
  <c r="G187" i="1"/>
  <c r="H187" i="1" s="1"/>
  <c r="F187" i="1"/>
  <c r="K186" i="1"/>
  <c r="J186" i="1"/>
  <c r="I186" i="1"/>
  <c r="G186" i="1"/>
  <c r="H186" i="1" s="1"/>
  <c r="F186" i="1"/>
  <c r="K185" i="1"/>
  <c r="J185" i="1"/>
  <c r="I185" i="1"/>
  <c r="F185" i="1"/>
  <c r="G185" i="1" s="1"/>
  <c r="H185" i="1" s="1"/>
  <c r="K184" i="1"/>
  <c r="J184" i="1"/>
  <c r="I184" i="1"/>
  <c r="G184" i="1"/>
  <c r="H184" i="1" s="1"/>
  <c r="F184" i="1"/>
  <c r="K183" i="1"/>
  <c r="J183" i="1"/>
  <c r="I183" i="1"/>
  <c r="G183" i="1"/>
  <c r="H183" i="1" s="1"/>
  <c r="F183" i="1"/>
  <c r="K182" i="1"/>
  <c r="J182" i="1"/>
  <c r="I182" i="1"/>
  <c r="F182" i="1"/>
  <c r="G182" i="1" s="1"/>
  <c r="H182" i="1" s="1"/>
  <c r="K181" i="1"/>
  <c r="J181" i="1"/>
  <c r="I181" i="1"/>
  <c r="F181" i="1"/>
  <c r="G181" i="1" s="1"/>
  <c r="H181" i="1" s="1"/>
  <c r="K180" i="1"/>
  <c r="J180" i="1"/>
  <c r="I180" i="1"/>
  <c r="G180" i="1"/>
  <c r="H180" i="1" s="1"/>
  <c r="F180" i="1"/>
  <c r="K179" i="1"/>
  <c r="J179" i="1"/>
  <c r="I179" i="1"/>
  <c r="F179" i="1"/>
  <c r="G179" i="1" s="1"/>
  <c r="H179" i="1" s="1"/>
  <c r="K178" i="1"/>
  <c r="J178" i="1"/>
  <c r="I178" i="1"/>
  <c r="F178" i="1"/>
  <c r="G178" i="1" s="1"/>
  <c r="H178" i="1" s="1"/>
  <c r="K177" i="1"/>
  <c r="J177" i="1"/>
  <c r="I177" i="1"/>
  <c r="F177" i="1"/>
  <c r="G177" i="1" s="1"/>
  <c r="H177" i="1" s="1"/>
  <c r="K176" i="1"/>
  <c r="J176" i="1"/>
  <c r="I176" i="1"/>
  <c r="G176" i="1"/>
  <c r="H176" i="1" s="1"/>
  <c r="F176" i="1"/>
  <c r="K175" i="1"/>
  <c r="J175" i="1"/>
  <c r="I175" i="1"/>
  <c r="F175" i="1"/>
  <c r="G175" i="1" s="1"/>
  <c r="H175" i="1" s="1"/>
  <c r="K172" i="1"/>
  <c r="J172" i="1"/>
  <c r="I172" i="1"/>
  <c r="G172" i="1"/>
  <c r="H172" i="1" s="1"/>
  <c r="F172" i="1"/>
  <c r="K171" i="1"/>
  <c r="J171" i="1"/>
  <c r="I171" i="1"/>
  <c r="F171" i="1"/>
  <c r="G171" i="1" s="1"/>
  <c r="H171" i="1" s="1"/>
  <c r="K170" i="1"/>
  <c r="J170" i="1"/>
  <c r="I170" i="1"/>
  <c r="F170" i="1" s="1"/>
  <c r="G170" i="1" s="1"/>
  <c r="H170" i="1" s="1"/>
  <c r="K169" i="1"/>
  <c r="J169" i="1"/>
  <c r="I169" i="1"/>
  <c r="F169" i="1"/>
  <c r="K168" i="1"/>
  <c r="J168" i="1"/>
  <c r="I168" i="1"/>
  <c r="F168" i="1"/>
  <c r="H18" i="4" s="1"/>
  <c r="K167" i="1"/>
  <c r="J167" i="1"/>
  <c r="I167" i="1"/>
  <c r="F167" i="1"/>
  <c r="K166" i="1"/>
  <c r="J166" i="1"/>
  <c r="I166" i="1"/>
  <c r="G166" i="1"/>
  <c r="H166" i="1" s="1"/>
  <c r="F166" i="1"/>
  <c r="K165" i="1"/>
  <c r="J165" i="1"/>
  <c r="I165" i="1"/>
  <c r="F165" i="1"/>
  <c r="G165" i="1" s="1"/>
  <c r="H165" i="1" s="1"/>
  <c r="K162" i="1"/>
  <c r="J162" i="1"/>
  <c r="I162" i="1"/>
  <c r="F162" i="1"/>
  <c r="G162" i="1" s="1"/>
  <c r="H162" i="1" s="1"/>
  <c r="K161" i="1"/>
  <c r="J161" i="1"/>
  <c r="I161" i="1"/>
  <c r="F161" i="1"/>
  <c r="G161" i="1" s="1"/>
  <c r="H161" i="1" s="1"/>
  <c r="K159" i="1"/>
  <c r="J159" i="1"/>
  <c r="I159" i="1"/>
  <c r="G159" i="1"/>
  <c r="H159" i="1" s="1"/>
  <c r="F159" i="1"/>
  <c r="K158" i="1"/>
  <c r="J158" i="1"/>
  <c r="I158" i="1"/>
  <c r="G158" i="1"/>
  <c r="H158" i="1" s="1"/>
  <c r="F158" i="1"/>
  <c r="K157" i="1"/>
  <c r="J157" i="1"/>
  <c r="I157" i="1"/>
  <c r="F157" i="1"/>
  <c r="G157" i="1" s="1"/>
  <c r="H157" i="1" s="1"/>
  <c r="K156" i="1"/>
  <c r="J156" i="1"/>
  <c r="I156" i="1"/>
  <c r="F156" i="1"/>
  <c r="G156" i="1" s="1"/>
  <c r="H156" i="1" s="1"/>
  <c r="K155" i="1"/>
  <c r="J155" i="1"/>
  <c r="I155" i="1"/>
  <c r="G155" i="1"/>
  <c r="H155" i="1" s="1"/>
  <c r="F155" i="1"/>
  <c r="K154" i="1"/>
  <c r="J154" i="1"/>
  <c r="I154" i="1"/>
  <c r="G154" i="1"/>
  <c r="H154" i="1" s="1"/>
  <c r="F154" i="1"/>
  <c r="K153" i="1"/>
  <c r="J153" i="1"/>
  <c r="I153" i="1"/>
  <c r="F153" i="1"/>
  <c r="G153" i="1" s="1"/>
  <c r="H153" i="1" s="1"/>
  <c r="K152" i="1"/>
  <c r="J152" i="1"/>
  <c r="I152" i="1"/>
  <c r="F152" i="1"/>
  <c r="G152" i="1" s="1"/>
  <c r="H152" i="1" s="1"/>
  <c r="K151" i="1"/>
  <c r="J151" i="1"/>
  <c r="I151" i="1"/>
  <c r="G151" i="1"/>
  <c r="H151" i="1" s="1"/>
  <c r="F151" i="1"/>
  <c r="H12" i="4" s="1"/>
  <c r="K150" i="1"/>
  <c r="J150" i="1"/>
  <c r="I150" i="1"/>
  <c r="F150" i="1"/>
  <c r="G150" i="1" s="1"/>
  <c r="H150" i="1" s="1"/>
  <c r="K149" i="1"/>
  <c r="J149" i="1"/>
  <c r="I149" i="1"/>
  <c r="F149" i="1"/>
  <c r="G149" i="1" s="1"/>
  <c r="H149" i="1" s="1"/>
  <c r="K148" i="1"/>
  <c r="J148" i="1"/>
  <c r="I148" i="1"/>
  <c r="F148" i="1"/>
  <c r="G148" i="1" s="1"/>
  <c r="H148" i="1" s="1"/>
  <c r="K145" i="1"/>
  <c r="J145" i="1"/>
  <c r="I145" i="1"/>
  <c r="F145" i="1"/>
  <c r="G145" i="1" s="1"/>
  <c r="H145" i="1" s="1"/>
  <c r="K144" i="1"/>
  <c r="J144" i="1"/>
  <c r="I144" i="1"/>
  <c r="F144" i="1"/>
  <c r="G144" i="1" s="1"/>
  <c r="H144" i="1" s="1"/>
  <c r="K143" i="1"/>
  <c r="J143" i="1"/>
  <c r="I143" i="1"/>
  <c r="F143" i="1"/>
  <c r="G143" i="1" s="1"/>
  <c r="H143" i="1" s="1"/>
  <c r="K140" i="1"/>
  <c r="J140" i="1"/>
  <c r="I140" i="1"/>
  <c r="G140" i="1"/>
  <c r="H140" i="1" s="1"/>
  <c r="K139" i="1"/>
  <c r="J139" i="1"/>
  <c r="I139" i="1"/>
  <c r="G139" i="1"/>
  <c r="H139" i="1" s="1"/>
  <c r="K138" i="1"/>
  <c r="J138" i="1"/>
  <c r="I138" i="1"/>
  <c r="G138" i="1"/>
  <c r="H138" i="1" s="1"/>
  <c r="K133" i="1"/>
  <c r="J133" i="1"/>
  <c r="I133" i="1"/>
  <c r="G133" i="1"/>
  <c r="H133" i="1" s="1"/>
  <c r="F133" i="1"/>
  <c r="K130" i="1"/>
  <c r="J130" i="1"/>
  <c r="I130" i="1"/>
  <c r="F130" i="1"/>
  <c r="G130" i="1" s="1"/>
  <c r="H130" i="1" s="1"/>
  <c r="K129" i="1"/>
  <c r="J129" i="1"/>
  <c r="I129" i="1"/>
  <c r="F129" i="1"/>
  <c r="G129" i="1" s="1"/>
  <c r="H129" i="1" s="1"/>
  <c r="K126" i="1"/>
  <c r="J126" i="1"/>
  <c r="I126" i="1"/>
  <c r="G126" i="1"/>
  <c r="H126" i="1" s="1"/>
  <c r="F126" i="1"/>
  <c r="K125" i="1"/>
  <c r="J125" i="1"/>
  <c r="I125" i="1"/>
  <c r="G125" i="1"/>
  <c r="H125" i="1" s="1"/>
  <c r="F125" i="1"/>
  <c r="K124" i="1"/>
  <c r="J124" i="1"/>
  <c r="I124" i="1"/>
  <c r="F124" i="1"/>
  <c r="G124" i="1" s="1"/>
  <c r="H124" i="1" s="1"/>
  <c r="K121" i="1"/>
  <c r="J121" i="1"/>
  <c r="I121" i="1"/>
  <c r="K120" i="1"/>
  <c r="J120" i="1"/>
  <c r="I120" i="1"/>
  <c r="K119" i="1"/>
  <c r="J119" i="1"/>
  <c r="I119" i="1"/>
  <c r="K116" i="1"/>
  <c r="J116" i="1"/>
  <c r="I116" i="1"/>
  <c r="F116" i="1"/>
  <c r="H23" i="4" s="1"/>
  <c r="K115" i="1"/>
  <c r="J115" i="1"/>
  <c r="I115" i="1"/>
  <c r="F115" i="1"/>
  <c r="G115" i="1" s="1"/>
  <c r="H115" i="1" s="1"/>
  <c r="K114" i="1"/>
  <c r="J114" i="1"/>
  <c r="I114" i="1"/>
  <c r="F114" i="1"/>
  <c r="K113" i="1"/>
  <c r="J113" i="1"/>
  <c r="I113" i="1"/>
  <c r="F113" i="1"/>
  <c r="G113" i="1" s="1"/>
  <c r="H113" i="1" s="1"/>
  <c r="K112" i="1"/>
  <c r="J112" i="1"/>
  <c r="I112" i="1"/>
  <c r="F112" i="1"/>
  <c r="G112" i="1" s="1"/>
  <c r="H112" i="1" s="1"/>
  <c r="K111" i="1"/>
  <c r="J111" i="1"/>
  <c r="I111" i="1"/>
  <c r="G111" i="1"/>
  <c r="H111" i="1" s="1"/>
  <c r="K110" i="1"/>
  <c r="J110" i="1"/>
  <c r="I110" i="1"/>
  <c r="G110" i="1"/>
  <c r="H110" i="1" s="1"/>
  <c r="K109" i="1"/>
  <c r="J109" i="1"/>
  <c r="I109" i="1"/>
  <c r="G109" i="1"/>
  <c r="H109" i="1" s="1"/>
  <c r="F109" i="1"/>
  <c r="K108" i="1"/>
  <c r="J108" i="1"/>
  <c r="I108" i="1"/>
  <c r="F108" i="1"/>
  <c r="K107" i="1"/>
  <c r="J107" i="1"/>
  <c r="I107" i="1"/>
  <c r="F107" i="1"/>
  <c r="K104" i="1"/>
  <c r="J104" i="1"/>
  <c r="I104" i="1"/>
  <c r="F104" i="1" s="1"/>
  <c r="G104" i="1" s="1"/>
  <c r="H104" i="1" s="1"/>
  <c r="K103" i="1"/>
  <c r="J103" i="1"/>
  <c r="F103" i="1"/>
  <c r="G103" i="1" s="1"/>
  <c r="H103" i="1" s="1"/>
  <c r="K102" i="1"/>
  <c r="J102" i="1"/>
  <c r="I102" i="1"/>
  <c r="G102" i="1" s="1"/>
  <c r="H102" i="1" s="1"/>
  <c r="K101" i="1"/>
  <c r="J101" i="1"/>
  <c r="I101" i="1"/>
  <c r="F101" i="1" s="1"/>
  <c r="H5" i="4" s="1"/>
  <c r="G101" i="1"/>
  <c r="H101" i="1" s="1"/>
  <c r="K98" i="1"/>
  <c r="J98" i="1"/>
  <c r="I98" i="1"/>
  <c r="F98" i="1"/>
  <c r="G98" i="1" s="1"/>
  <c r="H98" i="1" s="1"/>
  <c r="K97" i="1"/>
  <c r="J97" i="1"/>
  <c r="I97" i="1"/>
  <c r="G97" i="1"/>
  <c r="H97" i="1" s="1"/>
  <c r="F97" i="1"/>
  <c r="K93" i="1"/>
  <c r="J93" i="1"/>
  <c r="I93" i="1"/>
  <c r="G93" i="1"/>
  <c r="H93" i="1" s="1"/>
  <c r="K92" i="1"/>
  <c r="J92" i="1"/>
  <c r="I92" i="1"/>
  <c r="G92" i="1"/>
  <c r="H92" i="1" s="1"/>
  <c r="K91" i="1"/>
  <c r="J91" i="1"/>
  <c r="I91" i="1"/>
  <c r="G91" i="1"/>
  <c r="H91" i="1" s="1"/>
  <c r="K90" i="1"/>
  <c r="J90" i="1"/>
  <c r="I90" i="1"/>
  <c r="G90" i="1"/>
  <c r="H90" i="1" s="1"/>
  <c r="K89" i="1"/>
  <c r="J89" i="1"/>
  <c r="I89" i="1"/>
  <c r="G89" i="1"/>
  <c r="H89" i="1" s="1"/>
  <c r="K86" i="1"/>
  <c r="J86" i="1"/>
  <c r="I86" i="1"/>
  <c r="F86" i="1"/>
  <c r="G86" i="1" s="1"/>
  <c r="H86" i="1" s="1"/>
  <c r="K85" i="1"/>
  <c r="J85" i="1"/>
  <c r="I85" i="1"/>
  <c r="F85" i="1"/>
  <c r="K83" i="1"/>
  <c r="J83" i="1"/>
  <c r="I83" i="1"/>
  <c r="F83" i="1"/>
  <c r="G83" i="1" s="1"/>
  <c r="H83" i="1" s="1"/>
  <c r="K81" i="1"/>
  <c r="J81" i="1"/>
  <c r="I81" i="1"/>
  <c r="F81" i="1"/>
  <c r="G81" i="1" s="1"/>
  <c r="H81" i="1" s="1"/>
  <c r="K76" i="1"/>
  <c r="F76" i="1" s="1"/>
  <c r="G76" i="1" s="1"/>
  <c r="H76" i="1" s="1"/>
  <c r="J76" i="1"/>
  <c r="I76" i="1"/>
  <c r="K75" i="1"/>
  <c r="F75" i="1" s="1"/>
  <c r="G75" i="1" s="1"/>
  <c r="H75" i="1" s="1"/>
  <c r="J75" i="1"/>
  <c r="I75" i="1"/>
  <c r="K73" i="1"/>
  <c r="J73" i="1"/>
  <c r="I73" i="1"/>
  <c r="F73" i="1"/>
  <c r="G73" i="1" s="1"/>
  <c r="H73" i="1" s="1"/>
  <c r="K72" i="1"/>
  <c r="F72" i="1" s="1"/>
  <c r="G72" i="1" s="1"/>
  <c r="H72" i="1" s="1"/>
  <c r="J72" i="1"/>
  <c r="I72" i="1"/>
  <c r="K67" i="1"/>
  <c r="F67" i="1" s="1"/>
  <c r="G67" i="1" s="1"/>
  <c r="H67" i="1" s="1"/>
  <c r="J67" i="1"/>
  <c r="I67" i="1"/>
  <c r="K66" i="1"/>
  <c r="J66" i="1"/>
  <c r="I66" i="1"/>
  <c r="F66" i="1"/>
  <c r="G66" i="1" s="1"/>
  <c r="H66" i="1" s="1"/>
  <c r="K64" i="1"/>
  <c r="J64" i="1"/>
  <c r="I64" i="1"/>
  <c r="F64" i="1"/>
  <c r="G64" i="1" s="1"/>
  <c r="H64" i="1" s="1"/>
  <c r="K63" i="1"/>
  <c r="F63" i="1" s="1"/>
  <c r="G63" i="1" s="1"/>
  <c r="H63" i="1" s="1"/>
  <c r="J63" i="1"/>
  <c r="I63" i="1"/>
  <c r="K58" i="1"/>
  <c r="J58" i="1"/>
  <c r="I58" i="1"/>
  <c r="F58" i="1"/>
  <c r="G58" i="1" s="1"/>
  <c r="H58" i="1" s="1"/>
  <c r="K57" i="1"/>
  <c r="J57" i="1"/>
  <c r="I57" i="1"/>
  <c r="F57" i="1"/>
  <c r="G57" i="1" s="1"/>
  <c r="H57" i="1" s="1"/>
  <c r="K56" i="1"/>
  <c r="J56" i="1"/>
  <c r="I56" i="1"/>
  <c r="F56" i="1"/>
  <c r="G56" i="1" s="1"/>
  <c r="H56" i="1" s="1"/>
  <c r="K55" i="1"/>
  <c r="J55" i="1"/>
  <c r="I55" i="1"/>
  <c r="G55" i="1"/>
  <c r="H55" i="1" s="1"/>
  <c r="F55" i="1"/>
  <c r="K54" i="1"/>
  <c r="J54" i="1"/>
  <c r="I54" i="1"/>
  <c r="F54" i="1"/>
  <c r="G54" i="1" s="1"/>
  <c r="H54" i="1" s="1"/>
  <c r="K53" i="1"/>
  <c r="J53" i="1"/>
  <c r="I53" i="1"/>
  <c r="F53" i="1"/>
  <c r="G53" i="1" s="1"/>
  <c r="H53" i="1" s="1"/>
  <c r="K52" i="1"/>
  <c r="J52" i="1"/>
  <c r="I52" i="1"/>
  <c r="F52" i="1"/>
  <c r="G52" i="1" s="1"/>
  <c r="H52" i="1" s="1"/>
  <c r="K49" i="1"/>
  <c r="J49" i="1"/>
  <c r="I49" i="1"/>
  <c r="G49" i="1"/>
  <c r="H49" i="1" s="1"/>
  <c r="K48" i="1"/>
  <c r="J48" i="1"/>
  <c r="I48" i="1"/>
  <c r="G48" i="1"/>
  <c r="H48" i="1" s="1"/>
  <c r="K47" i="1"/>
  <c r="J47" i="1"/>
  <c r="I47" i="1"/>
  <c r="G47" i="1"/>
  <c r="H47" i="1" s="1"/>
  <c r="K46" i="1"/>
  <c r="J46" i="1"/>
  <c r="I46" i="1"/>
  <c r="G46" i="1"/>
  <c r="H46" i="1" s="1"/>
  <c r="K45" i="1"/>
  <c r="J45" i="1"/>
  <c r="I45" i="1"/>
  <c r="G45" i="1"/>
  <c r="H45" i="1" s="1"/>
  <c r="K44" i="1"/>
  <c r="J44" i="1"/>
  <c r="I44" i="1"/>
  <c r="G44" i="1"/>
  <c r="H44" i="1" s="1"/>
  <c r="K43" i="1"/>
  <c r="J43" i="1"/>
  <c r="I43" i="1"/>
  <c r="F43" i="1"/>
  <c r="G43" i="1" s="1"/>
  <c r="H43" i="1" s="1"/>
  <c r="K42" i="1"/>
  <c r="J42" i="1"/>
  <c r="I42" i="1"/>
  <c r="F42" i="1"/>
  <c r="G42" i="1" s="1"/>
  <c r="H42" i="1" s="1"/>
  <c r="K41" i="1"/>
  <c r="J41" i="1"/>
  <c r="I41" i="1"/>
  <c r="F41" i="1"/>
  <c r="G41" i="1" s="1"/>
  <c r="H41" i="1" s="1"/>
  <c r="K40" i="1"/>
  <c r="J40" i="1"/>
  <c r="I40" i="1"/>
  <c r="G40" i="1"/>
  <c r="H40" i="1" s="1"/>
  <c r="F40" i="1"/>
  <c r="K39" i="1"/>
  <c r="J39" i="1"/>
  <c r="I39" i="1"/>
  <c r="F39" i="1"/>
  <c r="K38" i="1"/>
  <c r="J38" i="1"/>
  <c r="I38" i="1"/>
  <c r="G38" i="1"/>
  <c r="H38" i="1" s="1"/>
  <c r="F38" i="1"/>
  <c r="K37" i="1"/>
  <c r="J37" i="1"/>
  <c r="I37" i="1"/>
  <c r="G37" i="1"/>
  <c r="H37" i="1" s="1"/>
  <c r="F37" i="1"/>
  <c r="K36" i="1"/>
  <c r="J36" i="1"/>
  <c r="I36" i="1"/>
  <c r="F36" i="1"/>
  <c r="G36" i="1" s="1"/>
  <c r="H36" i="1" s="1"/>
  <c r="K35" i="1"/>
  <c r="J35" i="1"/>
  <c r="I35" i="1"/>
  <c r="F35" i="1"/>
  <c r="G35" i="1" s="1"/>
  <c r="H35" i="1" s="1"/>
  <c r="K34" i="1"/>
  <c r="J34" i="1"/>
  <c r="I34" i="1"/>
  <c r="F34" i="1"/>
  <c r="G34" i="1" s="1"/>
  <c r="H34" i="1" s="1"/>
  <c r="K31" i="1"/>
  <c r="J31" i="1"/>
  <c r="I31" i="1"/>
  <c r="G31" i="1"/>
  <c r="H31" i="1" s="1"/>
  <c r="K29" i="1"/>
  <c r="J29" i="1"/>
  <c r="I29" i="1"/>
  <c r="G29" i="1"/>
  <c r="H29" i="1" s="1"/>
  <c r="K28" i="1"/>
  <c r="J28" i="1"/>
  <c r="I28" i="1"/>
  <c r="G28" i="1"/>
  <c r="H28" i="1" s="1"/>
  <c r="K27" i="1"/>
  <c r="J27" i="1"/>
  <c r="I27" i="1"/>
  <c r="F27" i="1"/>
  <c r="G27" i="1" s="1"/>
  <c r="H27" i="1" s="1"/>
  <c r="K25" i="1"/>
  <c r="J25" i="1"/>
  <c r="I25" i="1"/>
  <c r="G25" i="1"/>
  <c r="H25" i="1" s="1"/>
  <c r="K24" i="1"/>
  <c r="J24" i="1"/>
  <c r="I24" i="1"/>
  <c r="G24" i="1"/>
  <c r="H24" i="1" s="1"/>
  <c r="K23" i="1"/>
  <c r="J23" i="1"/>
  <c r="I23" i="1"/>
  <c r="F23" i="1"/>
  <c r="G23" i="1" s="1"/>
  <c r="H23" i="1" s="1"/>
  <c r="K22" i="1"/>
  <c r="J22" i="1"/>
  <c r="I22" i="1"/>
  <c r="F22" i="1"/>
  <c r="G22" i="1" s="1"/>
  <c r="H22" i="1" s="1"/>
  <c r="K20" i="1"/>
  <c r="J20" i="1"/>
  <c r="I20" i="1"/>
  <c r="G20" i="1"/>
  <c r="H20" i="1" s="1"/>
  <c r="K19" i="1"/>
  <c r="J19" i="1"/>
  <c r="I19" i="1"/>
  <c r="G19" i="1"/>
  <c r="H19" i="1" s="1"/>
  <c r="K18" i="1"/>
  <c r="J18" i="1"/>
  <c r="I18" i="1"/>
  <c r="G18" i="1"/>
  <c r="H18" i="1" s="1"/>
  <c r="K17" i="1"/>
  <c r="J17" i="1"/>
  <c r="I17" i="1"/>
  <c r="G17" i="1"/>
  <c r="H17" i="1" s="1"/>
  <c r="K15" i="1"/>
  <c r="J15" i="1"/>
  <c r="I15" i="1"/>
  <c r="G15" i="1"/>
  <c r="H15" i="1" s="1"/>
  <c r="F15" i="1"/>
  <c r="K14" i="1"/>
  <c r="J14" i="1"/>
  <c r="I14" i="1"/>
  <c r="G14" i="1"/>
  <c r="H14" i="1" s="1"/>
  <c r="F14" i="1"/>
  <c r="K12" i="1"/>
  <c r="J12" i="1"/>
  <c r="I12" i="1"/>
  <c r="G12" i="1"/>
  <c r="H12" i="1" s="1"/>
  <c r="F12" i="1"/>
  <c r="K11" i="1"/>
  <c r="J11" i="1"/>
  <c r="I11" i="1"/>
  <c r="F11" i="1"/>
  <c r="G11" i="1" s="1"/>
  <c r="H11" i="1" s="1"/>
  <c r="G49" i="2" l="1"/>
  <c r="H49" i="2" s="1"/>
  <c r="I49" i="2" s="1"/>
  <c r="G14" i="2"/>
  <c r="H14" i="2" s="1"/>
  <c r="I14" i="2" s="1"/>
  <c r="G24" i="2"/>
  <c r="H24" i="2" s="1"/>
  <c r="I24" i="2" s="1"/>
  <c r="G48" i="2"/>
  <c r="H48" i="2" s="1"/>
  <c r="I48" i="2" s="1"/>
  <c r="G40" i="2"/>
  <c r="H40" i="2" s="1"/>
  <c r="I40" i="2" s="1"/>
  <c r="H101" i="2"/>
  <c r="I101" i="2" s="1"/>
  <c r="G44" i="5"/>
  <c r="H44" i="5" s="1"/>
  <c r="G15" i="2"/>
  <c r="H15" i="2" s="1"/>
  <c r="I15" i="2" s="1"/>
  <c r="G25" i="2"/>
  <c r="H25" i="2" s="1"/>
  <c r="I25" i="2" s="1"/>
  <c r="G23" i="2"/>
  <c r="H23" i="2" s="1"/>
  <c r="I23" i="2" s="1"/>
  <c r="G58" i="2"/>
  <c r="H58" i="2" s="1"/>
  <c r="I58" i="2" s="1"/>
  <c r="G86" i="5"/>
  <c r="H86" i="5" s="1"/>
  <c r="G29" i="5"/>
  <c r="H29" i="5" s="1"/>
  <c r="G36" i="5"/>
  <c r="H36" i="5" s="1"/>
  <c r="G101" i="5"/>
  <c r="H101" i="5" s="1"/>
  <c r="G93" i="2"/>
  <c r="H93" i="2" s="1"/>
  <c r="I93" i="2" s="1"/>
  <c r="G41" i="2"/>
  <c r="H41" i="2" s="1"/>
  <c r="I41" i="2" s="1"/>
  <c r="G20" i="2"/>
  <c r="H20" i="2" s="1"/>
  <c r="I20" i="2" s="1"/>
  <c r="G31" i="2"/>
  <c r="H31" i="2" s="1"/>
  <c r="I31" i="2" s="1"/>
  <c r="G35" i="2"/>
  <c r="H35" i="2" s="1"/>
  <c r="I35" i="2" s="1"/>
  <c r="G11" i="2"/>
  <c r="H11" i="2" s="1"/>
  <c r="I11" i="2" s="1"/>
  <c r="G42" i="2"/>
  <c r="H42" i="2" s="1"/>
  <c r="I42" i="2" s="1"/>
  <c r="F141" i="5"/>
  <c r="G141" i="5" s="1"/>
  <c r="H141" i="5" s="1"/>
  <c r="F76" i="5"/>
  <c r="F63" i="5"/>
  <c r="F142" i="5"/>
  <c r="G142" i="5" s="1"/>
  <c r="H142" i="5" s="1"/>
  <c r="F66" i="5"/>
  <c r="F83" i="5"/>
  <c r="F143" i="5"/>
  <c r="G143" i="5" s="1"/>
  <c r="H143" i="5" s="1"/>
  <c r="F168" i="5"/>
  <c r="G168" i="5" s="1"/>
  <c r="H168" i="5" s="1"/>
  <c r="F72" i="5"/>
  <c r="F151" i="5"/>
  <c r="G151" i="5" s="1"/>
  <c r="H151" i="5" s="1"/>
  <c r="F67" i="5"/>
  <c r="F73" i="5"/>
  <c r="F148" i="5"/>
  <c r="G148" i="5" s="1"/>
  <c r="H148" i="5" s="1"/>
  <c r="F64" i="5"/>
  <c r="F81" i="5"/>
  <c r="F75" i="5"/>
  <c r="G102" i="5"/>
  <c r="H102" i="5" s="1"/>
  <c r="H16" i="4"/>
  <c r="G114" i="1"/>
  <c r="H114" i="1" s="1"/>
  <c r="H7" i="4"/>
  <c r="G108" i="1"/>
  <c r="H108" i="1" s="1"/>
  <c r="H21" i="4"/>
  <c r="G116" i="1"/>
  <c r="H116" i="1" s="1"/>
  <c r="H6" i="4"/>
  <c r="G107" i="1"/>
  <c r="H107" i="1" s="1"/>
  <c r="F2" i="4"/>
  <c r="H11" i="4"/>
  <c r="G39" i="1"/>
  <c r="H39" i="1" s="1"/>
  <c r="H14" i="4"/>
  <c r="G85" i="1"/>
  <c r="H85" i="1" s="1"/>
  <c r="H19" i="4"/>
  <c r="H22" i="4"/>
  <c r="G169" i="1"/>
  <c r="H169" i="1" s="1"/>
  <c r="G168" i="1"/>
  <c r="H168" i="1" s="1"/>
  <c r="H20" i="4"/>
  <c r="G167" i="1"/>
  <c r="H167" i="1" s="1"/>
  <c r="H17" i="4"/>
  <c r="G73" i="5" l="1"/>
  <c r="H73" i="5" s="1"/>
  <c r="G73" i="2"/>
  <c r="H73" i="2" s="1"/>
  <c r="I73" i="2" s="1"/>
  <c r="G76" i="5"/>
  <c r="H76" i="5" s="1"/>
  <c r="G76" i="2"/>
  <c r="H76" i="2" s="1"/>
  <c r="I76" i="2" s="1"/>
  <c r="G72" i="5"/>
  <c r="H72" i="5" s="1"/>
  <c r="G72" i="2"/>
  <c r="H72" i="2" s="1"/>
  <c r="I72" i="2" s="1"/>
  <c r="G75" i="5"/>
  <c r="H75" i="5" s="1"/>
  <c r="G75" i="2"/>
  <c r="H75" i="2" s="1"/>
  <c r="I75" i="2" s="1"/>
  <c r="G63" i="5"/>
  <c r="H63" i="5" s="1"/>
  <c r="G63" i="2"/>
  <c r="H63" i="2" s="1"/>
  <c r="I63" i="2" s="1"/>
  <c r="G81" i="5"/>
  <c r="H81" i="5" s="1"/>
  <c r="G81" i="2"/>
  <c r="H81" i="2" s="1"/>
  <c r="I81" i="2" s="1"/>
  <c r="G64" i="5"/>
  <c r="H64" i="5" s="1"/>
  <c r="G64" i="2"/>
  <c r="H64" i="2" s="1"/>
  <c r="I64" i="2" s="1"/>
  <c r="G83" i="5"/>
  <c r="H83" i="5" s="1"/>
  <c r="G83" i="2"/>
  <c r="H83" i="2" s="1"/>
  <c r="I83" i="2" s="1"/>
  <c r="G67" i="5"/>
  <c r="H67" i="5" s="1"/>
  <c r="G67" i="2"/>
  <c r="H67" i="2" s="1"/>
  <c r="I67" i="2" s="1"/>
  <c r="G66" i="5"/>
  <c r="H66" i="5" s="1"/>
  <c r="G66" i="2"/>
  <c r="H66" i="2" s="1"/>
  <c r="I66" i="2" s="1"/>
  <c r="H2" i="4"/>
  <c r="K2" i="4" s="1"/>
  <c r="L2" i="4" s="1"/>
</calcChain>
</file>

<file path=xl/sharedStrings.xml><?xml version="1.0" encoding="utf-8"?>
<sst xmlns="http://schemas.openxmlformats.org/spreadsheetml/2006/main" count="11069" uniqueCount="2000">
  <si>
    <r>
      <rPr>
        <b/>
        <sz val="18"/>
        <rFont val="Arial"/>
        <family val="2"/>
        <charset val="1"/>
      </rPr>
      <t>Victaulic Vortex</t>
    </r>
    <r>
      <rPr>
        <b/>
        <vertAlign val="superscript"/>
        <sz val="18"/>
        <rFont val="Times New Roman"/>
        <family val="1"/>
        <charset val="1"/>
      </rPr>
      <t>®</t>
    </r>
    <r>
      <rPr>
        <b/>
        <sz val="18"/>
        <rFont val="Arial"/>
        <family val="2"/>
        <charset val="1"/>
      </rPr>
      <t xml:space="preserve"> System Product List Price
Effective May 2024</t>
    </r>
  </si>
  <si>
    <t>United States</t>
  </si>
  <si>
    <t>Multiplier:</t>
  </si>
  <si>
    <r>
      <rPr>
        <b/>
        <u/>
        <sz val="11"/>
        <color rgb="FFFF0000"/>
        <rFont val="Arial"/>
        <family val="2"/>
        <charset val="1"/>
      </rPr>
      <t>NOTE</t>
    </r>
    <r>
      <rPr>
        <b/>
        <sz val="11"/>
        <color rgb="FFFF0000"/>
        <rFont val="Arial"/>
        <family val="2"/>
        <charset val="1"/>
      </rPr>
      <t xml:space="preserve">: </t>
    </r>
    <r>
      <rPr>
        <sz val="11"/>
        <rFont val="Arial"/>
        <family val="2"/>
        <charset val="1"/>
      </rPr>
      <t>Please add information to the cells shaded in</t>
    </r>
  </si>
  <si>
    <t>GREEN.</t>
  </si>
  <si>
    <t>Option Style</t>
  </si>
  <si>
    <t>Shipping Weight</t>
  </si>
  <si>
    <t>Part Code</t>
  </si>
  <si>
    <t>Cost
(USD)</t>
  </si>
  <si>
    <t>List Price
(USD)</t>
  </si>
  <si>
    <t>Extended Price</t>
  </si>
  <si>
    <t>GM %</t>
  </si>
  <si>
    <t>60% Margin Sell</t>
  </si>
  <si>
    <t>67.5% Margin Sell</t>
  </si>
  <si>
    <t>75% Margin Sell</t>
  </si>
  <si>
    <t>Emitters</t>
  </si>
  <si>
    <t>1/8" Emitters</t>
  </si>
  <si>
    <t>1/8” Emitter, 954 cavity foil, standard, PVDF, 3/8” FPT, 1/8” FPT</t>
  </si>
  <si>
    <t>S003953105</t>
  </si>
  <si>
    <t>1/8” Emitter, 953 dome foil, standard, stainless, 3/8” FPT, 1/8” FPT</t>
  </si>
  <si>
    <t>S00195310X</t>
  </si>
  <si>
    <t>1/4" Emitters</t>
  </si>
  <si>
    <t>1/4” Emitter, 953 dome foil, standard, stainless, 3/4” MPT, 1/4” FPT</t>
  </si>
  <si>
    <t>S002953X02</t>
  </si>
  <si>
    <t>1/4” Emitter, 954 cavity foil, standard, PVDF, 3/8” FPT, 1/8” FPT</t>
  </si>
  <si>
    <t>S003953170</t>
  </si>
  <si>
    <t>3/8" Emitters</t>
  </si>
  <si>
    <t>3/8” Emitter, 953 dome foil, escutcheon, stainless, 3/4” FPT, 1/4” FPT</t>
  </si>
  <si>
    <t>S003953032</t>
  </si>
  <si>
    <t>3/8” Emitter, 953 dome foil, standard, stainless, 3/4” FPT, 1/4” FPT</t>
  </si>
  <si>
    <t>S003953034</t>
  </si>
  <si>
    <t>3/8” Emitter, 954 cavity foil, escutcheon, stainless, 3/4” FPT, 1/4” FPT</t>
  </si>
  <si>
    <t>S003953031</t>
  </si>
  <si>
    <t>3/8” Emitter, 954 cavity foil, standard, stainless, 3/4” FPT, 1/4” FPT</t>
  </si>
  <si>
    <t>S003953033</t>
  </si>
  <si>
    <t>1/2" Emitters</t>
  </si>
  <si>
    <t>1/2” Emitter, 953 dome foil, standard, brass, 3/4” MPT, 1/4” FPT</t>
  </si>
  <si>
    <t>S006953400</t>
  </si>
  <si>
    <t>1/2” Emitter, 953 dome foil, standard, PVDF, 3/4” MPT, 1/4” FPT</t>
  </si>
  <si>
    <t>S006953406</t>
  </si>
  <si>
    <t>1/2” Emitter, 953 dome foil, escutcheon, stainless, 3/4” FPT, 1/4” FPT</t>
  </si>
  <si>
    <t>S004953511</t>
  </si>
  <si>
    <t>1/2” Emitter, 953 dome foil, standard, stainless, 3/4” FPT, 1/4” FPT</t>
  </si>
  <si>
    <t>S004953513</t>
  </si>
  <si>
    <t>5/8" Emitters</t>
  </si>
  <si>
    <t>5/8” Emitter, 954 cavity foil, standard, PVDF, 3/4” FPT, 1/4" FPT</t>
  </si>
  <si>
    <t>S006953503</t>
  </si>
  <si>
    <t>5/8” Emitter, 954 cavity foil, escutcheon, stainless, 3/4” FPT, 1/4” FPT</t>
  </si>
  <si>
    <t>S006953512</t>
  </si>
  <si>
    <t>5/8” Emitter, 954 cavity foil, standard, stainless, 3/4” FPT, 1/4” FPT</t>
  </si>
  <si>
    <t>S006953514</t>
  </si>
  <si>
    <t>1" Emitters</t>
  </si>
  <si>
    <t>1” Emitter, 953/954 dome foil, escutcheon, stainless, 1” FPT, 1/8” FPT</t>
  </si>
  <si>
    <t>S010953511</t>
  </si>
  <si>
    <t>Water Flow Kits (Strainer, Flow Cartridge, Emitter Trim Kit)</t>
  </si>
  <si>
    <t>Water Flow Cartridge Kit, .13 GPM, Brass, 3/4” NPT</t>
  </si>
  <si>
    <t>K000953013</t>
  </si>
  <si>
    <t>Water Flow Cartridge Kit, .13 GPM, Stainless, 3/4” NPT</t>
  </si>
  <si>
    <t>K000953X13</t>
  </si>
  <si>
    <t>Water Flow Cartridge Kit, .26 GPM, Brass, 3/4” NPT</t>
  </si>
  <si>
    <t>K000953026</t>
  </si>
  <si>
    <t>Water Flow Cartridge Kit, .26 GPM, Stainless, 3/4” NPT</t>
  </si>
  <si>
    <t>K000953X26</t>
  </si>
  <si>
    <t>Water Flow Cartridge Kit, .53 GPM, Brass, 3/4” NPT</t>
  </si>
  <si>
    <t>K000953053</t>
  </si>
  <si>
    <t>Water Flow Cartridge Kit, .53 GPM, Stainless, 3/4” NPT</t>
  </si>
  <si>
    <t>K000953X53</t>
  </si>
  <si>
    <t>Water Flow Cartridge Kit, .79 GPM, Brass, 3/4” NPT</t>
  </si>
  <si>
    <t>K000953079</t>
  </si>
  <si>
    <t>Water Flow Cartridge Kit, .79 GPM, Stainless, 3/4” NPT</t>
  </si>
  <si>
    <t>K000953X79</t>
  </si>
  <si>
    <t>Water Flow Cartridge Kit, 1.06 GPM, Brass, 3/4” NPT</t>
  </si>
  <si>
    <t>K000953106</t>
  </si>
  <si>
    <t>Water Flow Cartridge Kit, 1.06 GPM, Stainless, 3/4” NPT</t>
  </si>
  <si>
    <t>K000953X06</t>
  </si>
  <si>
    <t>Water Flow Cartridge Kit, 1.59 GPM, Brass, 3/4” NPT</t>
  </si>
  <si>
    <t>K000953153</t>
  </si>
  <si>
    <t>Water Flow Cartridge Kit, 1.59 GPM, Stainless, 3/4” NPT</t>
  </si>
  <si>
    <t>K00095315X</t>
  </si>
  <si>
    <t>Water Flow Cartridge Kit, 2.11 GPM, Brass, 3/4” NPT</t>
  </si>
  <si>
    <t>K000953211</t>
  </si>
  <si>
    <t>Water Flow Cartridge Kit, 2.11 GPM, Stainless, 3/4” NPT</t>
  </si>
  <si>
    <t>K000953X11</t>
  </si>
  <si>
    <t>Water Flow Cartridge Kit, 4.23 GPM, Brass, 3/4” NPT</t>
  </si>
  <si>
    <t>K000953423</t>
  </si>
  <si>
    <t>Water Flow Cartridge Kit, 4.23 GPM, Stainless, 3/4” NPT</t>
  </si>
  <si>
    <t>K000953X23</t>
  </si>
  <si>
    <t>Components</t>
  </si>
  <si>
    <t>1/4" MNPT x 7/16-20 Male JIC Straight adapter, brass</t>
  </si>
  <si>
    <t>PAY7000C01</t>
  </si>
  <si>
    <t>7/16-20 Female JIC x 31” PTFE lined braided stainless hose, 1/4” ID</t>
  </si>
  <si>
    <t>P310955228</t>
  </si>
  <si>
    <t>7/16-20 Female JIC x 36” PTFE lined braided stainless hose, 1/4” ID</t>
  </si>
  <si>
    <t>P360955228</t>
  </si>
  <si>
    <t>7/16-20 Female JIC x 48” PTFE lined braided stainless hose, 1/4” ID</t>
  </si>
  <si>
    <t>P480955228</t>
  </si>
  <si>
    <t>1/4" MNPT x 7/16-20 Male JIC 90 degree adapter, brass</t>
  </si>
  <si>
    <t>PAY0955001</t>
  </si>
  <si>
    <t>1/4" NPT x 3/8" OD compression, 90 degree adapter, brass</t>
  </si>
  <si>
    <t>SY45953001</t>
  </si>
  <si>
    <t>1/4"  NPT x 3/8" OD compression, straight adapter, brass</t>
  </si>
  <si>
    <t>SY45953002</t>
  </si>
  <si>
    <t>Vortex Panels</t>
  </si>
  <si>
    <t>Combination Panels</t>
  </si>
  <si>
    <t>1"</t>
  </si>
  <si>
    <t>1” 951 Combination Panel, Dry Contact, Ball Valve</t>
  </si>
  <si>
    <t>S010951DRY</t>
  </si>
  <si>
    <t>1” 951 Combination Panel, Active Release, Ball Valve</t>
  </si>
  <si>
    <t>S010951ACT</t>
  </si>
  <si>
    <t>1.5"</t>
  </si>
  <si>
    <t>1.5” 951 Combination Panel, Dry Contact, Ball Valve</t>
  </si>
  <si>
    <t>S014951DRY</t>
  </si>
  <si>
    <t>1.5” 951 Combination Panel, Active Release, Ball Valve</t>
  </si>
  <si>
    <t>S014951ACT</t>
  </si>
  <si>
    <t>* Please note each Combination Panels requires a pressure transducer to be ordered separately.  Reference spare parts section for pressure transducer selection.</t>
  </si>
  <si>
    <t>Fluid Panels</t>
  </si>
  <si>
    <t>1” 951 Fluid Panel, Dry Contact</t>
  </si>
  <si>
    <t>S010951F00</t>
  </si>
  <si>
    <t>1” 951 Fluid Panel, Active Release</t>
  </si>
  <si>
    <t>S010951FA0</t>
  </si>
  <si>
    <t>1.5” 951 Fluid Panel, Dry Contact</t>
  </si>
  <si>
    <t>S014951F00</t>
  </si>
  <si>
    <t>1.5” 951 Fluid Panel, Active Release</t>
  </si>
  <si>
    <t>S014951FA0</t>
  </si>
  <si>
    <t>*Please note that each Fluid Panel requires a pressure transducer to be ordered separately.  Reference spare parts section for pressure transducer selection.</t>
  </si>
  <si>
    <t>Zone Panels</t>
  </si>
  <si>
    <t>1.5” 951 Zone Panel, Dry Contact, Ball Valve</t>
  </si>
  <si>
    <t>2"</t>
  </si>
  <si>
    <t>2” 951 Zone Panel, Dry Contact, Ball Valve</t>
  </si>
  <si>
    <t>S02095110A</t>
  </si>
  <si>
    <t>Pressure Transducers</t>
  </si>
  <si>
    <t>Pressure Transducer, Standard, 0-100 psi</t>
  </si>
  <si>
    <t>P000951134</t>
  </si>
  <si>
    <t>Pressure Transducer Spec. App, Explosion Proof</t>
  </si>
  <si>
    <t>P000951TRM</t>
  </si>
  <si>
    <t>Design Method Labels</t>
  </si>
  <si>
    <t>FM Approved for Data Processing Rooms (Engineered)</t>
  </si>
  <si>
    <t>Z519889LBL</t>
  </si>
  <si>
    <t>FM Approved for Turbine and Machine Spaces</t>
  </si>
  <si>
    <t>Z519890LBL</t>
  </si>
  <si>
    <t>FM Approved for Wet Benches</t>
  </si>
  <si>
    <t>Z519891LBL</t>
  </si>
  <si>
    <t>NEW</t>
  </si>
  <si>
    <t>FM Approved for Data Processing Rooms (Pre-Engineered)</t>
  </si>
  <si>
    <t>Z521073LBL</t>
  </si>
  <si>
    <t>Performance Based Designs</t>
  </si>
  <si>
    <t>Z519892LBL</t>
  </si>
  <si>
    <t>Note: Each panel requires a design method label. Design method labels are sold separately.</t>
  </si>
  <si>
    <t>Nitrogen Supply</t>
  </si>
  <si>
    <t>Relief Valves</t>
  </si>
  <si>
    <t>Fluid to Zone Piping Relief Valve .85 Orifice 11/2”</t>
  </si>
  <si>
    <t>S010951RLV</t>
  </si>
  <si>
    <t>Fluid to Zone Piping Relief Valve 1.39 Orifice 2”</t>
  </si>
  <si>
    <t>S020951RLV</t>
  </si>
  <si>
    <t>Cylinders</t>
  </si>
  <si>
    <t>Victaulic Vortex Nitrogen Cylinder, 80L, w/Valve, Filled</t>
  </si>
  <si>
    <t>S000950A01</t>
  </si>
  <si>
    <t>Victaulic Vortex Nitrogen Cylinder, 49L, w/Valve, Filled</t>
  </si>
  <si>
    <t>S000950A02</t>
  </si>
  <si>
    <t>PE-S000950A01</t>
  </si>
  <si>
    <t>PE-S000950A02</t>
  </si>
  <si>
    <t xml:space="preserve">Discharge Hose Kits and Accessories </t>
  </si>
  <si>
    <t>80L Cylinder Primary Pilot Kit</t>
  </si>
  <si>
    <t>S0009500PP</t>
  </si>
  <si>
    <t>80L Cylinder Secondary Kit, With Gauge</t>
  </si>
  <si>
    <t>S0009500SP</t>
  </si>
  <si>
    <t>80L Cylinder Secondary Pilot Kit, With Gauge and Pressure Switch</t>
  </si>
  <si>
    <t>S000950PSP</t>
  </si>
  <si>
    <t>49L CYLINDER PRIMARY PILOT KIT</t>
  </si>
  <si>
    <t>S4909500PP</t>
  </si>
  <si>
    <t>49L CYLINDER SECONDARY KIT WITH GAUGE</t>
  </si>
  <si>
    <t>S4909500SP</t>
  </si>
  <si>
    <t>1/4” Pilot Hose, 700 MM, for joining rows in double stacked racks</t>
  </si>
  <si>
    <t>S000950P70</t>
  </si>
  <si>
    <t>1/4” Pilot Hose, 500 MM, for joining adjacent racks</t>
  </si>
  <si>
    <t>S000950P50</t>
  </si>
  <si>
    <t>Vortex Single Cylinder Refill Adapter, CGA-580 Inlet</t>
  </si>
  <si>
    <t>S002950000</t>
  </si>
  <si>
    <t>Vortex Single Cylinder Refill Adapter, CGA-677 Inlet</t>
  </si>
  <si>
    <t>S002950401</t>
  </si>
  <si>
    <t>In Place Bulk Cylinder Refill Kit, 1” NPT Inlet</t>
  </si>
  <si>
    <t>S000950015</t>
  </si>
  <si>
    <t>Bulk Nitrogen Supply</t>
  </si>
  <si>
    <t>24’ Bulk Gas Service ASME Tube</t>
  </si>
  <si>
    <t>POA</t>
  </si>
  <si>
    <t>38’ Bulk Gas Service ASME Tube</t>
  </si>
  <si>
    <t>2” Electrically Actuated Ball Valves, 24VDC, 75% Duty Cycle</t>
  </si>
  <si>
    <t>Manifolds</t>
  </si>
  <si>
    <t>1 to 4 Cylinder Manifold, (2x2), includes 1 high pressure plug</t>
  </si>
  <si>
    <t>S00M950PP4</t>
  </si>
  <si>
    <t>5 to 8 Cylinder Manifold, (4x2), includes 1 high pressure plug</t>
  </si>
  <si>
    <t>S00M950PP8</t>
  </si>
  <si>
    <t>9 to 12 Cylinder Manifold, (6x2), includes 1 high pressure plug</t>
  </si>
  <si>
    <t>S00M95PP12</t>
  </si>
  <si>
    <t>Isolation Ball Valve Kits</t>
  </si>
  <si>
    <t>1” Manifold Isolation Ball Valve Assembly Kit</t>
  </si>
  <si>
    <t>S000950010</t>
  </si>
  <si>
    <t>1.5” Manifold Isolation Ball Valve Assembly Kit</t>
  </si>
  <si>
    <t>S014950121</t>
  </si>
  <si>
    <t>Pressure Switches</t>
  </si>
  <si>
    <t>1/2" Low Pressure Nitrogen Pressure Switch, Adjustable 10-100 psi</t>
  </si>
  <si>
    <t>S000760044</t>
  </si>
  <si>
    <t>Cylinder Racks - Assembly Required</t>
  </si>
  <si>
    <t>Cylinder Racks - FM Approved</t>
  </si>
  <si>
    <t>80L</t>
  </si>
  <si>
    <t>Cylinder Storage Rack, 80L, Structural, Red Painted (1 to 4 cylinders)</t>
  </si>
  <si>
    <t>K800950004</t>
  </si>
  <si>
    <t>Cylinder Storage Rack, 80L, Structural, Red Painted (5 to 8 cylinders)</t>
  </si>
  <si>
    <t>K800950008</t>
  </si>
  <si>
    <t>Cylinder Storage Rack, 80L, Structural, Red Painted (9 to 12 cylinders)</t>
  </si>
  <si>
    <t>K800950012</t>
  </si>
  <si>
    <t>Cylinder Restraint Kits</t>
  </si>
  <si>
    <t>Cylinder Restraint Kits (1 to 4 cylinders )</t>
  </si>
  <si>
    <t>K010950055</t>
  </si>
  <si>
    <t>Cylinder Restraint Kits (5 to 8 cylinders)</t>
  </si>
  <si>
    <t>K050950055</t>
  </si>
  <si>
    <t>Cylinder Restraint Kits (9 to 12 cylinders)</t>
  </si>
  <si>
    <t>K090950055</t>
  </si>
  <si>
    <t>Water Supply</t>
  </si>
  <si>
    <t>Water Tank Regulator w/ ¹⁄₂” x 36” Hose</t>
  </si>
  <si>
    <t>P000950065</t>
  </si>
  <si>
    <t>High-Capacity Water Tank Regulator w/ 1/2" x 36" Hose</t>
  </si>
  <si>
    <t>S000950HCW</t>
  </si>
  <si>
    <t>Water Tank Regulator Tamper Resistant Kit</t>
  </si>
  <si>
    <t>K000950WTR</t>
  </si>
  <si>
    <t>10 Gallon Water Tank, Red, w/ Trim, ASME and FM approved</t>
  </si>
  <si>
    <t>S100950140</t>
  </si>
  <si>
    <t>30 Gallon Water Tank, Red, w/ Trim, ASME and FM approved</t>
  </si>
  <si>
    <t>S300950140</t>
  </si>
  <si>
    <t>30 Gallon Water Tank, Red, w/ Trim, ASME, CE and FM approved</t>
  </si>
  <si>
    <t>S300950141</t>
  </si>
  <si>
    <t>60 Gallon Water Tank, Red, w/ Trim, ASME and FM approved</t>
  </si>
  <si>
    <t>S600950140</t>
  </si>
  <si>
    <t>80 Gallon Water Tank, Red, w/ Trim, ASME and FM approved</t>
  </si>
  <si>
    <t>S800950140</t>
  </si>
  <si>
    <t>120 Gallon Water Tank, Red, w/ Trim, ASME and FM approved</t>
  </si>
  <si>
    <t>S120950140</t>
  </si>
  <si>
    <t>200 Gallon Water Tank, Red, w/ Trim, ASME and FM approved</t>
  </si>
  <si>
    <t>S200950140</t>
  </si>
  <si>
    <t>400 Gallon Water Tank, Red, w/ Trim, ASME and FM approved</t>
  </si>
  <si>
    <t>S400950140</t>
  </si>
  <si>
    <t>Series 728 FireLock™ Ball Valve – 1” Threaded</t>
  </si>
  <si>
    <t>V010728CT0</t>
  </si>
  <si>
    <t>*Please note a Series 728 water ball valve must be ordered for each water tank</t>
  </si>
  <si>
    <t>1/2" Normally Closed Supervised Drain Valve, 24 VDC</t>
  </si>
  <si>
    <t>S004N69106</t>
  </si>
  <si>
    <t>1/2 MNPT x 36” Stainless Steel Hose for Water Tank Regulator</t>
  </si>
  <si>
    <t>P004950010</t>
  </si>
  <si>
    <t>System Warning Signs</t>
  </si>
  <si>
    <t>Inside Zone Alarm Vacating Placard</t>
  </si>
  <si>
    <t>Z000950011</t>
  </si>
  <si>
    <t>Zone External Low Oxygen Condition Placard</t>
  </si>
  <si>
    <t>Z000950012</t>
  </si>
  <si>
    <t>Inside Zone Warning Label, Vortex Systems</t>
  </si>
  <si>
    <t>Z111278LBL</t>
  </si>
  <si>
    <t>Outside Zone Warning Label, Vortex Systems</t>
  </si>
  <si>
    <t>Z111277LBL</t>
  </si>
  <si>
    <t>Manual Pull Station Placard</t>
  </si>
  <si>
    <t>Z000950004</t>
  </si>
  <si>
    <t>Rack Placard</t>
  </si>
  <si>
    <t>Z000950030</t>
  </si>
  <si>
    <t>Victaulic Vortex System Information Label</t>
  </si>
  <si>
    <t>Z519277LBL</t>
  </si>
  <si>
    <t>Victaulic Vortex 500 System Information Label</t>
  </si>
  <si>
    <t>Z517131LBL</t>
  </si>
  <si>
    <t>Spare Parts</t>
  </si>
  <si>
    <t>Emitter Cap, 1/4-1/2”,Standard Style Emitter, orange</t>
  </si>
  <si>
    <t>P002953260</t>
  </si>
  <si>
    <t>Emitter Cap, Escutcheon Style Emitter, orange</t>
  </si>
  <si>
    <t>P006953522</t>
  </si>
  <si>
    <t>Emitter Cap, 5/8” Standard Style Emitter, orange</t>
  </si>
  <si>
    <t>P006953560</t>
  </si>
  <si>
    <t>O-ring Kit, primary/ secondary</t>
  </si>
  <si>
    <t>K000950KIT</t>
  </si>
  <si>
    <t>Discharge Hose, 49L/50L, rt angle, 22.25” OAL</t>
  </si>
  <si>
    <t>P000955B29</t>
  </si>
  <si>
    <t>Discharge Hose, DOT 80L, rt angle, 13.5” OAL</t>
  </si>
  <si>
    <t>P000955A29</t>
  </si>
  <si>
    <t>Discharge Hose Check Valve</t>
  </si>
  <si>
    <t>S000950BA1</t>
  </si>
  <si>
    <t>1/4” Pilot Hose, 300 mm, for adjacent cylinders</t>
  </si>
  <si>
    <t>S000950P32</t>
  </si>
  <si>
    <t>1/4” Pilot Hose, 450 mm, right angle, for primary</t>
  </si>
  <si>
    <t>S000950B08</t>
  </si>
  <si>
    <t>Pilot Line Tee Nipple, 1/4” BSPP</t>
  </si>
  <si>
    <t>S000950BA2</t>
  </si>
  <si>
    <t>Bleed Valve, 1/4” End of Pilot Line, with Crush Washer</t>
  </si>
  <si>
    <t>S000950BA4</t>
  </si>
  <si>
    <t>Copper Crush Washer for Bleed Valve</t>
  </si>
  <si>
    <t>P000950018</t>
  </si>
  <si>
    <t>Copper Crush Washer For Vortex Primary/Secondary Gauge</t>
  </si>
  <si>
    <t>P000950001</t>
  </si>
  <si>
    <t>Primary Solenoid Release Assembly</t>
  </si>
  <si>
    <t>S000950B22</t>
  </si>
  <si>
    <t>Snubber Assembly, with Crush Washer</t>
  </si>
  <si>
    <t>P000955035</t>
  </si>
  <si>
    <t>Copper Crush Washer for Snubber Assembly</t>
  </si>
  <si>
    <t>P000950034</t>
  </si>
  <si>
    <t>Secondary Gauge Assembly</t>
  </si>
  <si>
    <t>S000950B03</t>
  </si>
  <si>
    <t>Secondary Gauge Assembly, w/ pressure switch</t>
  </si>
  <si>
    <t>P000951135</t>
  </si>
  <si>
    <t>Replacement Fuse for PCB Board, 4AMP</t>
  </si>
  <si>
    <t>P000951RFP</t>
  </si>
  <si>
    <t>12V 12 Ah Replacement Battery for Power Supply (2 required)</t>
  </si>
  <si>
    <t>P000950017</t>
  </si>
  <si>
    <t>Replacement Pal Nut for Primary Solenoid Release Assembly</t>
  </si>
  <si>
    <t>P000950PAL</t>
  </si>
  <si>
    <t>Power Supply and Battery Back Up</t>
  </si>
  <si>
    <t>115VAC Battery Backup Power Supply w/ (2) 12 Ah batteries</t>
  </si>
  <si>
    <t>S000950027</t>
  </si>
  <si>
    <t>220VAC Battery Backup Power Supply w/ (2) 12 Ah batteries</t>
  </si>
  <si>
    <t>S000950220</t>
  </si>
  <si>
    <t>Engineering Site Support</t>
  </si>
  <si>
    <t>Site Support - First Day - Fee $3,000</t>
  </si>
  <si>
    <t>N/A</t>
  </si>
  <si>
    <t>Code 7N</t>
  </si>
  <si>
    <t>Site Support - Additional Days - Fee $1,500 per day</t>
  </si>
  <si>
    <t>DO NOT PUBLISH BELOW</t>
  </si>
  <si>
    <t>Pre-Engineered Kits</t>
  </si>
  <si>
    <t>VORTEX PRE ENGINEERED ONE CYLINDER</t>
  </si>
  <si>
    <t>S800950001</t>
  </si>
  <si>
    <t>VORTEX PRE ENGINEERED TWO CYLINDER</t>
  </si>
  <si>
    <t>S800950002</t>
  </si>
  <si>
    <t>VORTEX PRE ENGINEERED THREE CYLINDER</t>
  </si>
  <si>
    <t>S800950003</t>
  </si>
  <si>
    <t>VORTEX PRE ENGINEERED FOUR CYLINDER</t>
  </si>
  <si>
    <t>S800950004</t>
  </si>
  <si>
    <t>VORTEX PRE ENGINEERED FIVE CYLINDER</t>
  </si>
  <si>
    <t>S800950005</t>
  </si>
  <si>
    <t>VORTEX PRE ENGINEERED SIX CYLINDER</t>
  </si>
  <si>
    <t>S800950006</t>
  </si>
  <si>
    <t>VORTEX PRE ENGINEERED SEVEN CYLINDER</t>
  </si>
  <si>
    <t>S800950007</t>
  </si>
  <si>
    <t>VORTEX PRE ENGINEERED EIGHT CYLINDER</t>
  </si>
  <si>
    <t>S800950008</t>
  </si>
  <si>
    <r>
      <rPr>
        <b/>
        <sz val="18"/>
        <rFont val="Arial"/>
        <family val="2"/>
        <charset val="1"/>
      </rPr>
      <t>Victaulic Vortex</t>
    </r>
    <r>
      <rPr>
        <b/>
        <vertAlign val="superscript"/>
        <sz val="18"/>
        <rFont val="Times New Roman"/>
        <family val="1"/>
        <charset val="1"/>
      </rPr>
      <t>®</t>
    </r>
    <r>
      <rPr>
        <b/>
        <sz val="18"/>
        <rFont val="Arial"/>
        <family val="2"/>
        <charset val="1"/>
      </rPr>
      <t xml:space="preserve"> System Product List Price
Effective 3 April 2023</t>
    </r>
  </si>
  <si>
    <t>New</t>
  </si>
  <si>
    <t>Requested to be removed</t>
  </si>
  <si>
    <t>QTY</t>
  </si>
  <si>
    <t>NET</t>
  </si>
  <si>
    <t>Applied Formulas</t>
  </si>
  <si>
    <t>IPROD</t>
  </si>
  <si>
    <t>PL23</t>
  </si>
  <si>
    <t>1/8” Emitter, 953 dome foil, standard, brass, 3/8” FPT, 1/8” FPT</t>
  </si>
  <si>
    <t>S001953100</t>
  </si>
  <si>
    <t>Yes</t>
  </si>
  <si>
    <t>1/8” Emitter, 954 cavity foil, standard, brass, 3/8” FPT, 1/8” FPT</t>
  </si>
  <si>
    <t>S001953101</t>
  </si>
  <si>
    <t>1/8” Emitter, 953 cavity foil, standard, PVDF, 3/8” FPT, 1/8” FPT</t>
  </si>
  <si>
    <t>S00495350A</t>
  </si>
  <si>
    <t>1/4” Emitter, 953 dome foil, standard, brass, 3/4” MPT, 1/4” FPT</t>
  </si>
  <si>
    <t>S002953101</t>
  </si>
  <si>
    <t>K800950003</t>
  </si>
  <si>
    <t>K800950104</t>
  </si>
  <si>
    <t>1/4” Emitter, 954 cavity foil, standard, brass, 3/4” MPT, 1/4” FPT</t>
  </si>
  <si>
    <t>S002953100</t>
  </si>
  <si>
    <t>P00495000U</t>
  </si>
  <si>
    <t>1/4” Emitter, 954 cavity foil, standard, stainless, 3/4” MPT, 1/4” FPT</t>
  </si>
  <si>
    <t>S002953X01</t>
  </si>
  <si>
    <t>1/4” Emitter, 954 cavity foil, escutcheon, stainless, 3/4” FPT, 1/4” FPT</t>
  </si>
  <si>
    <t>S00295310A</t>
  </si>
  <si>
    <t>K490950008</t>
  </si>
  <si>
    <t>K800950002</t>
  </si>
  <si>
    <t>3/8” Emitter, 953 dome foil, standard, stainless, 3/4” MPT, 1/4” FPT</t>
  </si>
  <si>
    <t>S003953X30</t>
  </si>
  <si>
    <t>3/8” Emitter, 953 dome foil, standard, brass, 3/4” MPT, 1/4” FPT</t>
  </si>
  <si>
    <t>S003953131</t>
  </si>
  <si>
    <t>K800950006</t>
  </si>
  <si>
    <t>3/8” Emitter, 954 cavity foil, standard, brass, 3/4” MPT, 1/4” FPT</t>
  </si>
  <si>
    <t>S003953130</t>
  </si>
  <si>
    <t>S00395310A</t>
  </si>
  <si>
    <t>K800950106</t>
  </si>
  <si>
    <t>1/2” Emitter, 953 dome foil, standard, stainless, 3/4” MPT, 1/4” FPT</t>
  </si>
  <si>
    <t>S006953X40</t>
  </si>
  <si>
    <t>1/2” Emitter, 953 dome foil, escutcheon, stainless 3/4” FPT, 1/4” FPT</t>
  </si>
  <si>
    <t>5/8” Emitter, 953 dome foil, standard, stainless, 3/4” MPT, 1/4” FPT</t>
  </si>
  <si>
    <t>S006953X50</t>
  </si>
  <si>
    <t>5/8” Emitter, 953 dome foil, standard, brass, 3/4” MPT, 1/4” FPT</t>
  </si>
  <si>
    <t>S006953500</t>
  </si>
  <si>
    <t>5/8” Emitter, 953 cavity foil, PVDF, 3/4” FPT, 1/4" FPT</t>
  </si>
  <si>
    <t>5/8” Emitter, 954 cavity foil, standard, stainless, 3/4” MPT, 1/4” FPT</t>
  </si>
  <si>
    <t>S006953X51</t>
  </si>
  <si>
    <t>5/8” Emitter, 954 cavity foil, standard, brass, 3/4” MPT, 1/4” FPT</t>
  </si>
  <si>
    <t>S006953501</t>
  </si>
  <si>
    <t>5/8” Emitter, 954 cavity foil, escutcheon, stainless, 3/4” MPT, 1/4” FPT</t>
  </si>
  <si>
    <t>S00695350A</t>
  </si>
  <si>
    <t>P000951136</t>
  </si>
  <si>
    <t>P000951304</t>
  </si>
  <si>
    <t>P006953X07</t>
  </si>
  <si>
    <t>P006953X13</t>
  </si>
  <si>
    <t>P006953005</t>
  </si>
  <si>
    <t>P006953007</t>
  </si>
  <si>
    <t>P006953013</t>
  </si>
  <si>
    <t>S00M950PM2</t>
  </si>
  <si>
    <t>S00M950PM3</t>
  </si>
  <si>
    <t>S00M950PM4</t>
  </si>
  <si>
    <t>S00M950PM6</t>
  </si>
  <si>
    <t>S00M950PP6</t>
  </si>
  <si>
    <t>S00M950P12</t>
  </si>
  <si>
    <t>S000950A30</t>
  </si>
  <si>
    <t>1” 951 V1000 Combination Panel, Dry Contact, Ball Valve</t>
  </si>
  <si>
    <t>1” 951 V1500 Combination Panel, Dry Contact, Ball Valve</t>
  </si>
  <si>
    <t>S01095115D</t>
  </si>
  <si>
    <t>1” 951 V2000 Combination Panel, Dry Contact, Ball Valve</t>
  </si>
  <si>
    <t>S010951200</t>
  </si>
  <si>
    <t>S000950B02</t>
  </si>
  <si>
    <t>1” 951 V1000 Combination Panel, Active Release, Ball Valve</t>
  </si>
  <si>
    <t>1” 951 V1500 Combination Panel, Active Release, Ball Valve</t>
  </si>
  <si>
    <t>S01095115R</t>
  </si>
  <si>
    <t>1” 951 V2000 Combination Panel, Active Release, Ball Valve</t>
  </si>
  <si>
    <t>S010951A20</t>
  </si>
  <si>
    <t>S000950E01</t>
  </si>
  <si>
    <t>1.5” 951 V1000 Combination Panel, Dry Contact, Ball Valve</t>
  </si>
  <si>
    <t>1.5” 951 V1500 Combination Panel, Dry Contact, Ball Valve</t>
  </si>
  <si>
    <t>S01495115D</t>
  </si>
  <si>
    <t>1.5” 951 V2000 Combination Panel, Dry Contact, Ball Valve</t>
  </si>
  <si>
    <t>S014951200</t>
  </si>
  <si>
    <t>1.5” 951 V1000 Combination Panel, Active Release, Ball Valve</t>
  </si>
  <si>
    <t>1.5” 951 V1500 Combination Panel, Active Release, Ball Valve</t>
  </si>
  <si>
    <t>S01495115R</t>
  </si>
  <si>
    <t>1.5” 951 V2000 Combination Panel, Active Release, Ball Valve</t>
  </si>
  <si>
    <t>S014951A20</t>
  </si>
  <si>
    <t>S000950060</t>
  </si>
  <si>
    <t>1” 951 V1000 Fluid Panel, Dry Contact</t>
  </si>
  <si>
    <t>S000950080</t>
  </si>
  <si>
    <t>1” 951 V1500 Fluid Panel, Dry Contact</t>
  </si>
  <si>
    <t>S0109515DC</t>
  </si>
  <si>
    <t>S000950120</t>
  </si>
  <si>
    <t>1” 951 V2000 Fluid Panel, Dry Contact</t>
  </si>
  <si>
    <t>S010951F20</t>
  </si>
  <si>
    <t>S0009502X1</t>
  </si>
  <si>
    <t>1” 951 V1000 Fluid Panel, Active Release</t>
  </si>
  <si>
    <t>S0009502X2</t>
  </si>
  <si>
    <t>1” 951 V1500 Fluid Panel, Active Release</t>
  </si>
  <si>
    <t>S0109515AR</t>
  </si>
  <si>
    <t>S000950200</t>
  </si>
  <si>
    <t>1” 951 V2000 Fluid Panel, Active Release</t>
  </si>
  <si>
    <t>S010951FA2</t>
  </si>
  <si>
    <t>S0009503X1</t>
  </si>
  <si>
    <t>1.5” 951 V1000 Fluid Panel, Dry Contact</t>
  </si>
  <si>
    <t>S0009503X2</t>
  </si>
  <si>
    <t>1.5” 951 V1500 Fluid Panel, Dry Contact</t>
  </si>
  <si>
    <t>S0149515DC</t>
  </si>
  <si>
    <t>S0009504X1</t>
  </si>
  <si>
    <t>1.5” 951 V2000 Fluid Panel, Dry Contact</t>
  </si>
  <si>
    <t>S014951F20</t>
  </si>
  <si>
    <t>S0009504X2</t>
  </si>
  <si>
    <t>1.5” 951 V1000 Fluid Panel, Active Release</t>
  </si>
  <si>
    <t>S0009506X1</t>
  </si>
  <si>
    <t>1.5” 951 V1500 Fluid Panel, Active Release</t>
  </si>
  <si>
    <t>S0149515AR</t>
  </si>
  <si>
    <t>S0009506X2</t>
  </si>
  <si>
    <t>1.5” 951 V2000 Fluid Panel, Active Release</t>
  </si>
  <si>
    <t>S014951FA2</t>
  </si>
  <si>
    <t>1.5” 951 V1000 Zone Panel, Dry Contact, Ball Valve</t>
  </si>
  <si>
    <t>S01495110A</t>
  </si>
  <si>
    <t>1.5” 951 V1500 Zone Panel, Dry Contact, Ball Valve</t>
  </si>
  <si>
    <t>S01495115A</t>
  </si>
  <si>
    <t>1.5” 951 V2000 Zone Panel, Dry Contact, Ball Valve</t>
  </si>
  <si>
    <t>S01495120A</t>
  </si>
  <si>
    <t>2” 951 V1000 Zone Panel, Dry Contact, Ball Valve</t>
  </si>
  <si>
    <t>2” 951 V1500 Zone Panel, Dry Contact, Ball Valve</t>
  </si>
  <si>
    <t>S02095115A</t>
  </si>
  <si>
    <t>S4909502X1</t>
  </si>
  <si>
    <t>2” 951 V2000 Zone Panel, Dry Contact, Ball Valve</t>
  </si>
  <si>
    <t>S02095120A</t>
  </si>
  <si>
    <t>S4909502X2</t>
  </si>
  <si>
    <t>S4909503X1</t>
  </si>
  <si>
    <t>S4909503X2</t>
  </si>
  <si>
    <t>S4909504X1</t>
  </si>
  <si>
    <t>S4909504X2</t>
  </si>
  <si>
    <t>S4909506X1</t>
  </si>
  <si>
    <t>S4909506X2</t>
  </si>
  <si>
    <t>S00095115D</t>
  </si>
  <si>
    <t>S00095115R</t>
  </si>
  <si>
    <t>S0009515AR</t>
  </si>
  <si>
    <t>S0009515DC</t>
  </si>
  <si>
    <t>S010951026</t>
  </si>
  <si>
    <t>S010951027</t>
  </si>
  <si>
    <t>S010951031</t>
  </si>
  <si>
    <t>S010951035</t>
  </si>
  <si>
    <t>S010951037</t>
  </si>
  <si>
    <t>S010951052</t>
  </si>
  <si>
    <t>S010951120</t>
  </si>
  <si>
    <t>S010951135</t>
  </si>
  <si>
    <t>Two Cylinder Manifold, (2x1), includes 1 high pressure plug</t>
  </si>
  <si>
    <t>S010951137</t>
  </si>
  <si>
    <t>Three Cylinder Manifold, (3x1), includes 1 high pressure plug</t>
  </si>
  <si>
    <t>S010951138</t>
  </si>
  <si>
    <t>Four Cylinder Manifold, (4x1), includes 1 high pressure plug</t>
  </si>
  <si>
    <t>S010951139</t>
  </si>
  <si>
    <t>Six Cylinder Manifold, (6x1), includes 1 high pressure plug</t>
  </si>
  <si>
    <t>Four Cylinder Manifold, (2x2), includes 1 high pressure plug</t>
  </si>
  <si>
    <t>Six Cylinder Manifold, (3x2), includes 1 high pressure plug</t>
  </si>
  <si>
    <t>S010951160</t>
  </si>
  <si>
    <t>Eight Cylinder Manifold, (4x2), includes 1 high pressure plug</t>
  </si>
  <si>
    <t>Twelve Cylinder Manifold, (6x2), includes 1 high pressure plug</t>
  </si>
  <si>
    <t>S014951036</t>
  </si>
  <si>
    <t>Structural Steel - FM Approved</t>
  </si>
  <si>
    <t>S014951037</t>
  </si>
  <si>
    <t>S014951039</t>
  </si>
  <si>
    <t>Cylinder Storage Rack, 80L, Structural, Red Painted (2 cylinder 2x1)</t>
  </si>
  <si>
    <t>S014951040</t>
  </si>
  <si>
    <t>Cylinder Storage Rack, 80L, Structural, Red Painted (3 cylinder 3x1)</t>
  </si>
  <si>
    <t>S014951045</t>
  </si>
  <si>
    <t>Cylinder Storage Rack, 80L, Structural, Red Painted (4 cylinder 4x1)</t>
  </si>
  <si>
    <t>Cylinder Storage Rack, 80L, Structural, Red Painted (6 cylinder 6x1)</t>
  </si>
  <si>
    <t>S014951134</t>
  </si>
  <si>
    <t>Cylinder Storage Rack, 80L, Structural, Red Painted (4 cylinder 2x2 )</t>
  </si>
  <si>
    <t>S014951135</t>
  </si>
  <si>
    <t>Cylinder Storage Rack, 80L, Structural, Red Painted (6 cylinder 3x2)</t>
  </si>
  <si>
    <t>S014951137</t>
  </si>
  <si>
    <t>Cylinder Storage Rack, 80L, Structural, Red Painted (8 cylinder 4x2)</t>
  </si>
  <si>
    <t>S014951138</t>
  </si>
  <si>
    <t>Cylinder Storage Rack, 80L, Structural, Red Painted (12 cylinder 6x2 )</t>
  </si>
  <si>
    <t>S014951144</t>
  </si>
  <si>
    <t>Unistrut</t>
  </si>
  <si>
    <t>Cylinder Storage Rack, 80L, Metal Framing, Galvanized (2 cylinder 2x1)</t>
  </si>
  <si>
    <t>Cylinder Storage Rack, 80L, Metal Framing, Galvanized (3 cylinder 3x1)</t>
  </si>
  <si>
    <t>S014951150</t>
  </si>
  <si>
    <t>Cylinder Storage Rack, 80L, Metal Framing, Galvanized (4 cylinder 4x1)</t>
  </si>
  <si>
    <t>S014951151</t>
  </si>
  <si>
    <t>Cylinder Storage Rack, 80L, Metal Framing, Galvanized (6 cylinder 6x1)</t>
  </si>
  <si>
    <t>S014951152</t>
  </si>
  <si>
    <t>Cylinder Storage Rack, 80L, Metal Framing, Galvanized (4 cylinder 2x2 )</t>
  </si>
  <si>
    <t>S014951153</t>
  </si>
  <si>
    <t>Cylinder Storage Rack, 80L, Metal Framing, Galvanized (6 cylinder 3x2)</t>
  </si>
  <si>
    <t>Cylinder Storage Rack, 80L, Metal Framing, Galvanized (8 cylinder 4x2)</t>
  </si>
  <si>
    <t>Cylinder Storage Rack, 80L, Metal Framing, Galvanized (12 cylinder 6x2 )</t>
  </si>
  <si>
    <t>Wall Mount</t>
  </si>
  <si>
    <t>Wall Mount (2 cylinder 2x1)</t>
  </si>
  <si>
    <t>K020950001</t>
  </si>
  <si>
    <t>Wall Mount (3 cylinder 3x1)</t>
  </si>
  <si>
    <t>K030950001</t>
  </si>
  <si>
    <t>Wall Mount (4 cylinder 4x1)</t>
  </si>
  <si>
    <t>K040950001</t>
  </si>
  <si>
    <t>S020951150</t>
  </si>
  <si>
    <t>Wall Mount (6 cylinder 6x1)</t>
  </si>
  <si>
    <t>K060950001</t>
  </si>
  <si>
    <t>S020951152</t>
  </si>
  <si>
    <t>Wall Mount (4 cylinder 2x2 )</t>
  </si>
  <si>
    <t>K040950002</t>
  </si>
  <si>
    <t>Wall Mount (6 cylinder 3x2)</t>
  </si>
  <si>
    <t>K060950002</t>
  </si>
  <si>
    <t>S000952X03</t>
  </si>
  <si>
    <t>Wall Mount (8 cylinder 4x2)</t>
  </si>
  <si>
    <t>K080950002</t>
  </si>
  <si>
    <t>S000952X06</t>
  </si>
  <si>
    <t>Wall Mount (12 cylinder 6x2 )</t>
  </si>
  <si>
    <t>K012950002</t>
  </si>
  <si>
    <t>S000952003</t>
  </si>
  <si>
    <t>S000952006</t>
  </si>
  <si>
    <t>S006953C01</t>
  </si>
  <si>
    <t>S006953ETK</t>
  </si>
  <si>
    <t>S006953XTK</t>
  </si>
  <si>
    <t>S006953X01</t>
  </si>
  <si>
    <t>Inside Zone Alarm Vacating Placard, V1000/V2000</t>
  </si>
  <si>
    <t>Zone External Low Oxygen Condition Placard, V1000/V2000</t>
  </si>
  <si>
    <t>Inside Zone Warning Label, V500/V1500 Systems</t>
  </si>
  <si>
    <t>Outside Zone Warning Label, V500/V1500 Systems</t>
  </si>
  <si>
    <t>S006953402</t>
  </si>
  <si>
    <t>V010951000</t>
  </si>
  <si>
    <t>S004953515</t>
  </si>
  <si>
    <t>S006953516</t>
  </si>
  <si>
    <t>Instructions:  Copy and Paste columns A-D from Configurator BOM</t>
  </si>
  <si>
    <t>System Cost</t>
  </si>
  <si>
    <t>Raw List</t>
  </si>
  <si>
    <t>Multiplier</t>
  </si>
  <si>
    <t>Net List</t>
  </si>
  <si>
    <t>Gross Margin</t>
  </si>
  <si>
    <t>Item #</t>
  </si>
  <si>
    <t>Description</t>
  </si>
  <si>
    <t>Quantity</t>
  </si>
  <si>
    <t>Partcode</t>
  </si>
  <si>
    <t>Item Cost</t>
  </si>
  <si>
    <t>Item List</t>
  </si>
  <si>
    <t>VORTEX PRE ENGINEERED FOUR 80L CYLINDER</t>
  </si>
  <si>
    <t>I-VORTEX PE.DIOM</t>
  </si>
  <si>
    <t>Z000VTXPES</t>
  </si>
  <si>
    <t>Product Line</t>
  </si>
  <si>
    <t>Item BPCS Number</t>
  </si>
  <si>
    <t>CURRENT 2025 Listprice EUR</t>
  </si>
  <si>
    <t>CURRENT 2025 Listprice USD</t>
  </si>
  <si>
    <t>NEW 2025 Listprice EUR</t>
  </si>
  <si>
    <t>NEW 2025 Listprice USD</t>
  </si>
  <si>
    <t>Item Description</t>
  </si>
  <si>
    <t>Status</t>
  </si>
  <si>
    <t>Product Class</t>
  </si>
  <si>
    <t>Sales Cat Code</t>
  </si>
  <si>
    <t>Material</t>
  </si>
  <si>
    <t>Gasket Option</t>
  </si>
  <si>
    <t>Size 1</t>
  </si>
  <si>
    <t>Size 2</t>
  </si>
  <si>
    <t>Catalog Code</t>
  </si>
  <si>
    <t>Outlet</t>
  </si>
  <si>
    <t>Style Number</t>
  </si>
  <si>
    <t>V2700000- VORTEX</t>
  </si>
  <si>
    <t>D09500000VX4WMR</t>
  </si>
  <si>
    <t>P000950099</t>
  </si>
  <si>
    <t>D950/ RETAINING PLT 49 LITER WALL MOUNT SUPPORT</t>
  </si>
  <si>
    <t>20- Released</t>
  </si>
  <si>
    <t>D- Devices/Trim/Disc/Ring for VBSP</t>
  </si>
  <si>
    <t>V27000000- VORTEX -HVLP</t>
  </si>
  <si>
    <t>N/A- Not applicable</t>
  </si>
  <si>
    <t>N/A- No Gasket</t>
  </si>
  <si>
    <t>D950</t>
  </si>
  <si>
    <t>D09500000VX8RWM</t>
  </si>
  <si>
    <t>P000950071</t>
  </si>
  <si>
    <t>D950/ RESTRAINT WALL MOUNT SUPPORT 80L VERSION</t>
  </si>
  <si>
    <t>D09500000VX8WMR</t>
  </si>
  <si>
    <t>P000950053</t>
  </si>
  <si>
    <t>D950/ RETAINING PLT 80 LITER WALL MOUNT SUPPORT</t>
  </si>
  <si>
    <t>D09500006VXCVNF</t>
  </si>
  <si>
    <t>P006950003</t>
  </si>
  <si>
    <t>D950/026 NPT FEMALE CHECK VLV SPG LOAD 400 PSI AT 167 DEG</t>
  </si>
  <si>
    <t>0026</t>
  </si>
  <si>
    <t>D09504000VXORG5</t>
  </si>
  <si>
    <t>P000950ORG</t>
  </si>
  <si>
    <t>D950/ O RING 12O AS 568B-015 0.551 IDx0.070 WIDTH</t>
  </si>
  <si>
    <t>D09500033000001</t>
  </si>
  <si>
    <t>D950/1 VICTAULIC VORTEX COMBO BOX UNPRESSURIZED DRY CONTACT</t>
  </si>
  <si>
    <t>90- Not stock</t>
  </si>
  <si>
    <t>0033</t>
  </si>
  <si>
    <t>D09500033000002</t>
  </si>
  <si>
    <t>D950/1 VICTAULIC VORTEX DRY CONTACT ZONE PANEL ASY</t>
  </si>
  <si>
    <t>P00000000VXT000</t>
  </si>
  <si>
    <t>VORTEX TROLLEY FOR 80LT GAS CYLINDER</t>
  </si>
  <si>
    <t>P- Parts/Pipe/Tube</t>
  </si>
  <si>
    <t>MISC</t>
  </si>
  <si>
    <t>P09500004ZZZ000</t>
  </si>
  <si>
    <t>D950/1/2"ASTM A733 SCH40 ASTM A53 TYPE E GR B CS ZINC 6M LEN</t>
  </si>
  <si>
    <t>0021</t>
  </si>
  <si>
    <t>P09500010ZZ00G0</t>
  </si>
  <si>
    <t>D950/ 1"ASTM A733 SCH40 ASTM A53 TYPE E GR A CS ZINC 6M LEN</t>
  </si>
  <si>
    <t>P09500010ZZ00GB</t>
  </si>
  <si>
    <t>D950/1" ASME B36.10M SCH40 ASTM A53 TYPE E GR A CS ZINC 6M L</t>
  </si>
  <si>
    <t>P09500010ZZB4B0</t>
  </si>
  <si>
    <t>D950/1"ASTM A733 SCH40 ASTM A53 TYPE E GR B CS BLACK 6M LEN</t>
  </si>
  <si>
    <t>P09500010ZZB4B7</t>
  </si>
  <si>
    <t>D950/48 ASTM A733 SCH40 ASTM A53 TYPE E GR B CS BLACK 6M LEN</t>
  </si>
  <si>
    <t>0048</t>
  </si>
  <si>
    <t>P09500010ZZB4GB</t>
  </si>
  <si>
    <t>D950/1"ASTM A733 SCH40 ASTM A53 TYPE E GR A CS BLACK 6M LEN</t>
  </si>
  <si>
    <t>P09500010ZZB8B0</t>
  </si>
  <si>
    <t>D950/1"ASTM A733 SCH80 ASTM A53 TYPE E GR B CS BLACK 6M LEN</t>
  </si>
  <si>
    <t>P09510000ARV001</t>
  </si>
  <si>
    <t>P000951001</t>
  </si>
  <si>
    <t>P/951 COMBO MDRIVE23PLUS MOTION CNTL(MDI1PRD23B7-EQ-G1A9-F)W/PLGGABLE TERM 10PIN IDL CONN INR ENCODER 25:1GR NEMA FLG</t>
  </si>
  <si>
    <t>M951</t>
  </si>
  <si>
    <t>P09510000ARV002</t>
  </si>
  <si>
    <t>P000951002</t>
  </si>
  <si>
    <t>P/951 MDRIVE23PLUS MOTION CNTL(MDI1PRD23C7-EQ-G1B9-F)W/PLUGGABLE TERM STRIP 10PIN IDL CONN INR ENCODER 79:1GR NEMA FLG</t>
  </si>
  <si>
    <t>P09510000VXA310</t>
  </si>
  <si>
    <t>P000951310</t>
  </si>
  <si>
    <t>P/951 VORTEX ADHESIVE BACK MOUNT PANDUIT ABMS-A</t>
  </si>
  <si>
    <t>P09510000VXT312</t>
  </si>
  <si>
    <t>P000951312</t>
  </si>
  <si>
    <t>P/951 VORTEX CABLE TIE UL 94 V2 BLACK POLYAMIDE 6.6</t>
  </si>
  <si>
    <t>P09510000VXW326</t>
  </si>
  <si>
    <t>P000951326</t>
  </si>
  <si>
    <t>P/951 VORTEX WIRE HARNESS PANEL ZONE FE/ZN 3A CLEAR ZINC PLATED</t>
  </si>
  <si>
    <t>P09510000VXWTCH</t>
  </si>
  <si>
    <t>P000951TCH</t>
  </si>
  <si>
    <t>P/951 VORTEX WR HRN TOUCHSCREEN PNL W/PLUGGABLE TERM STRIP 10PIN IDL CONN INT ENCODER 25:1 GEARBOX NEMA OUTPUT FLG</t>
  </si>
  <si>
    <t>P09510006SGX000</t>
  </si>
  <si>
    <t>P006951Z05</t>
  </si>
  <si>
    <t>M951/ 026 NPT 316SS SIGHT GLASS 250 PSI 316.0 75RB REFLECTOR BALL</t>
  </si>
  <si>
    <t>V99999000- MISCELLANEOUS</t>
  </si>
  <si>
    <t>P09510010VXG00P</t>
  </si>
  <si>
    <t>P010951363</t>
  </si>
  <si>
    <t>M951/ 033 GROMMET PUSH IN PANEL HOLE</t>
  </si>
  <si>
    <t>P09510010VXSMP0</t>
  </si>
  <si>
    <t>P014951062</t>
  </si>
  <si>
    <t>M951/ 033-048 SWCH MTG PLATE F/ACT NDL VLV ASY</t>
  </si>
  <si>
    <t>P09510010VXSTRN</t>
  </si>
  <si>
    <t>P010951C01</t>
  </si>
  <si>
    <t>P/951 1"/33MM NPT WYE STRAINER 100 MESH DOUBLE SCREEN BRASS 150 PSI</t>
  </si>
  <si>
    <t>P09510014VXG000</t>
  </si>
  <si>
    <t>P014951364</t>
  </si>
  <si>
    <t>M951/ 048 GROMMET PUSH IN PANEL HOLE</t>
  </si>
  <si>
    <t>P09510014VXSNZN</t>
  </si>
  <si>
    <t>P014951P23</t>
  </si>
  <si>
    <t>M951/ 1 1/2 NPTx4 LG SCH 160 ZINC PLT NPL</t>
  </si>
  <si>
    <t>0114</t>
  </si>
  <si>
    <t>V2700001- VORTEX - EMITTERS</t>
  </si>
  <si>
    <t>D09520000VXFC01</t>
  </si>
  <si>
    <t>D952/ FLOW CONTROL VALVE 1 GPM ZONE PANEL KOBOLD REG5104</t>
  </si>
  <si>
    <t>D952</t>
  </si>
  <si>
    <t>D09520000VXFCG5</t>
  </si>
  <si>
    <t>D952/ FLOW CONTROL VALVE 0.79 GPM KOBOLD REG5103</t>
  </si>
  <si>
    <t>D09520000VXFCX1</t>
  </si>
  <si>
    <t>D952/ FLOW CONTROL VALVE SS 1 GPM ZONE PANEL KOBOLD REG5204</t>
  </si>
  <si>
    <t>D09530000VXACXR</t>
  </si>
  <si>
    <t>D953/ AUTO FLOW CARTRIDGE SS316 0.13 GPM REG-5200</t>
  </si>
  <si>
    <t>SS- Stainless Steel</t>
  </si>
  <si>
    <t>D953</t>
  </si>
  <si>
    <t>D09530000VXE0CF</t>
  </si>
  <si>
    <t>D/953 3/8"/9MM VORTEX EMITTER ASSEMBLY CAVITY FOIL STANDARD BRASS 3/4" MPT ORIFICE 1/4" FPT OUTLET</t>
  </si>
  <si>
    <t>0010</t>
  </si>
  <si>
    <t>D09530000VXE0DF</t>
  </si>
  <si>
    <t>D/953 3/8"/9MM VORTEX EMITTER ASSEMBLY DOME FOIL STANDARD BRASS 3/4" MPT ORIFICE 1/4" FPT OUTLET</t>
  </si>
  <si>
    <t>D09530000VXE0NM</t>
  </si>
  <si>
    <t>D/953 1/8"/13MM VORTEX EMITTER ASSEMBLY CAVITY FOIL STANDARD PVDF 3/8" FPT ORIFICE 1/8" FPT OUTLET</t>
  </si>
  <si>
    <t>XVV</t>
  </si>
  <si>
    <t>1/8</t>
  </si>
  <si>
    <t>D09530000VXE0T0</t>
  </si>
  <si>
    <t>D/953 1/8"/3MM VORTEX EMITTER ASSEMBLY DOME FOIL STANDARD BRASS 3/8" FPT ORIFICE 1/8" FPT OUTLET</t>
  </si>
  <si>
    <t>BRS- Brass</t>
  </si>
  <si>
    <t>D09530000VXE0TX</t>
  </si>
  <si>
    <t>D/953 1/8"/3MM VORTEX EMITTER ASSEMBLY DOME FOIL STANDARD STAINLESS STEEL 3/8" FPT ORIFICE 1/8" FPT OUTLET</t>
  </si>
  <si>
    <t>D09530000VXE0X0</t>
  </si>
  <si>
    <t>D/953 3/8"/9MM VORTEX EMITTER ASSEMBLY DOME FOIL STANDARD STAINLESS STEEL 3/4" MPT ORIFICE 1/4" FPT OUTLET</t>
  </si>
  <si>
    <t>D09530000VXE0XC</t>
  </si>
  <si>
    <t>D/953 3/8"/9MM VORTEX EMITTER ASSEMBLY CAVITY FOIL ESCUTCHEON CLEANROOM STAINLESS STEEL 3/4" FPT ORIFICE 1/4" FPT OUTLET</t>
  </si>
  <si>
    <t>D09530000VXEBCF</t>
  </si>
  <si>
    <t>D/953 5/8 EMITTER 953 DOME FOIL STANDARD BRASS 3/4 NPT MALE 1/4 NPT FEMALE</t>
  </si>
  <si>
    <t>D09530000VXEXCF</t>
  </si>
  <si>
    <t>D/954 5/8"/15MM VORTEX EMITTER ASSEMBLY CAVITY FOIL STANDARD BRASS 3/4" MPT ORIFICE 1/4" FPT OUTLET</t>
  </si>
  <si>
    <t>D09530000VXEXTK</t>
  </si>
  <si>
    <t>D953/ EMITTER TRIM KIT SS316 1/2 ORIFICE 3/4 NPT</t>
  </si>
  <si>
    <t>D09530000VXFCX5</t>
  </si>
  <si>
    <t>S006953X05</t>
  </si>
  <si>
    <t>D953/ FLOW CARTRIDGE SS316 0.5 GPM</t>
  </si>
  <si>
    <t>D09530001VX0ECF</t>
  </si>
  <si>
    <t>D/953 1/8"/3MM VORTEX EMITTER ASSEMBLY CAVITY FOIL STANDARD BRASS 3/8" FPT ORIFICE 1/8" FPT OUTLET</t>
  </si>
  <si>
    <t>D09530002TEVXAB</t>
  </si>
  <si>
    <t>D/953 1/4x3/8"/13x9MM VORTEX OD COMPRESSION STRAIGHT ADAPTER BRASS NPT</t>
  </si>
  <si>
    <t>0014</t>
  </si>
  <si>
    <t>COMP</t>
  </si>
  <si>
    <t>D09530002TEVXE9</t>
  </si>
  <si>
    <t>D/953 1/4x3/8"/13x9MM VORTEX OD TUBE ELBOW 90 DEGREE NPT WITH FURRULE</t>
  </si>
  <si>
    <t>D09530002VXCVE0</t>
  </si>
  <si>
    <t>D/953 1/4"/13MM VORTEX EMITTER ASSEMBLY CAVITY FOIL STANDARD PVDF 3/8" FPT ORIFICE 1/4" FPT OUTLET</t>
  </si>
  <si>
    <t>1/4</t>
  </si>
  <si>
    <t>D09530002VXE00C</t>
  </si>
  <si>
    <t>D/953 1/4"/13MM VORTEX EMITTER ASSEMBLY CAVITY FOIL ESCUTCHEON STAINLESS STEEL 3/4" FPT ORIFICE 1/4" FPT OUTLET</t>
  </si>
  <si>
    <t>D09530002VXE0CF</t>
  </si>
  <si>
    <t>D/953 1/4"/13MM VORTEX EMITTER ASSEMBLY CAVITY FOIL STANDARD BRASS 3/4" MPT ORIFICE 1/4" FPT OUTLET</t>
  </si>
  <si>
    <t>D09530002VXE0DF</t>
  </si>
  <si>
    <t>D/953 1/4"/13MM VORTEX EMITTER ASSEMBLY DOME FOIL STANDARD BRASS 3/4" MPT ORIFICE 1/4" FPT OUTLET</t>
  </si>
  <si>
    <t>D09530002VXEXCF</t>
  </si>
  <si>
    <t>D/953 1/4"/13MM VORTEX EMITTER ASSEMBLY CAVITY FOIL STANDARD STAINLESS STEEL 3/4" MPT ORIFICE 1/4" FPT OUTLET</t>
  </si>
  <si>
    <t>NPT</t>
  </si>
  <si>
    <t>D09530002VXEXDF</t>
  </si>
  <si>
    <t>D/953 1/4"/13MM VORTEX EMITTER ASSEMBLY DOME FOIL STANDARD STAINLESS STEEL 3/4" MPT ORIFICE 1/4" FPT OUTLET</t>
  </si>
  <si>
    <t>D09530002VXPIN0</t>
  </si>
  <si>
    <t>P002953250</t>
  </si>
  <si>
    <t>D/953 1/4,3/8,1/2,5/8 PIN SPACER #34</t>
  </si>
  <si>
    <t>D09530003VXE0CF</t>
  </si>
  <si>
    <t>D/953 3/8"/9MM VORTEX EMITTER ASSEMBLY CAVITY FOIL ESCUTCHEON STAINLESS STEEL 3/4" FPT ORIFICE 1/4" FPT OUTLET</t>
  </si>
  <si>
    <t>3/8</t>
  </si>
  <si>
    <t>D09530003VXE0DF</t>
  </si>
  <si>
    <t>D/953 3/8"/9MM VORTEX EMITTER ASSEMBLY DOME FOIL ESCUTCHEON STAINLESS STEEL 3/4" FPT ORIFICE 1/4" FPT OUTLET</t>
  </si>
  <si>
    <t>D09530003VXESCF</t>
  </si>
  <si>
    <t>D/953 3/8"/9MM VORTEX EMITTER ASSEMBLY CAVITY FOIL STANDARD STAINLESS STEEL 3/4" FPT ORIFICE 1/4" FPT OUTLET</t>
  </si>
  <si>
    <t>D09530003VXESDF</t>
  </si>
  <si>
    <t>D/953 3/8"/9MM VORTEX EMITTER ASSEMBLY DOME FOIL STANDARD STAINLESS STEEL 3/4" FPT ORIFICE 1/4" FPT OUTLET</t>
  </si>
  <si>
    <t>D09530004VXE0D4</t>
  </si>
  <si>
    <t>D/953 1/2"/21MM VORTEX EMITTER ASSEMBLY DOME FOIL ESCUTCHEON STAINLESS STEEL 3/4" FPT ORIFICE 1/4" FPT OUTLET</t>
  </si>
  <si>
    <t>1/2</t>
  </si>
  <si>
    <t>D09530004VXE0DF</t>
  </si>
  <si>
    <t>D/953 1/2"/21MM VORTEX EMITTER ASSEMBLY DOME FOIL ESCUTCHEON CLEANROOM STAINLESS STEEL 3/4" FPT ORIFICE 1/4" FPT OUTLET</t>
  </si>
  <si>
    <t>D09530004VXESDF</t>
  </si>
  <si>
    <t>D/953 1/2"/21MM VORTEX EMITTER ASSEMBLY DOME FOIL STANDARD STAINLESS STEEL 3/4" FPT ORIFICE 1/4" FPT OUTLET</t>
  </si>
  <si>
    <t>D09530005VXCVE0</t>
  </si>
  <si>
    <t>D/953 5/8"/15MM VORTEX EMITTER ASSEMBLY CAVITY FOIL PVDF 3/4" MPT ORIFICE 1/4" FPT OUTLET</t>
  </si>
  <si>
    <t>5/8</t>
  </si>
  <si>
    <t>D09530005VXE0CF</t>
  </si>
  <si>
    <t>D/954 5/8"/15MM VORTEX EMITTER ASSEMBLY CAVITY FOIL ESCUTCHEON STAINLESS STEEL 3/4" FPT ORIFICE 1/4" FPT OUTLET</t>
  </si>
  <si>
    <t>D09530005VXESCF</t>
  </si>
  <si>
    <t>D/953 5/8"/15MM VORTEX EMITTER ASSEMBLY CAVITY FOIL STANDARD STAINLESS STEEL 3/4" FPT ORIFICE 1/4" FPT OUTLET</t>
  </si>
  <si>
    <t>D09530006VX1MBS</t>
  </si>
  <si>
    <t>D953/ DOUBLE SCREEN WYE STRAINER 100MESH BRASS 3/4 NPT</t>
  </si>
  <si>
    <t>D09530006VXACB3</t>
  </si>
  <si>
    <t>D953/ AUTO FLOW CARTRIDGE .13 GPM KOBOLD REG-5100 BRASS</t>
  </si>
  <si>
    <t>D09530006VXACB4</t>
  </si>
  <si>
    <t>D953/ AUTO FLOW CARTRIDGE BRASS 3/4 NPT 0,26 GPM</t>
  </si>
  <si>
    <t>D09530006VXACB5</t>
  </si>
  <si>
    <t>D953/ 3/4NPT AUTO FLOW CARTRIDGE .53 GPM KOBOLD REG-5102 BR</t>
  </si>
  <si>
    <t>D09530006VXACX4</t>
  </si>
  <si>
    <t>D953/ AUTO FLOW CARTRIDGE SS316 3/4 NPT 0,26 GPM</t>
  </si>
  <si>
    <t>D09530006VXE000</t>
  </si>
  <si>
    <t>D/953 5/8 EMITTER 953 DOME FOIL STANDARD SS 3/4 NPT MALE 1/4 NPT FEMALE</t>
  </si>
  <si>
    <t>D09530006VXE0B0</t>
  </si>
  <si>
    <t>D/953 1/2"/21MM VORTEX EMITTER ASSEMBLY DOME FOIL STANDARD BRASS 3/4" MPT ORIFICE 1/4" FPT OUTLET</t>
  </si>
  <si>
    <t>D09530006VXE00C</t>
  </si>
  <si>
    <t>D/953 5/8"/15MM VORTEX EMITTER ASSEMBLY CAVITY FOIL ESCUTCHEON CLEANROOM STAINLESS STEEL 3/4" MPT ORIFICE 1/4" FPT OTLT</t>
  </si>
  <si>
    <t>D09530006VXE0C0</t>
  </si>
  <si>
    <t>D953/ 026 EMIT ASY NPT CLEAN AGENT 1/2 ORIF</t>
  </si>
  <si>
    <t>D09530006VXE0HC</t>
  </si>
  <si>
    <t>H006953511</t>
  </si>
  <si>
    <t>D/953 3/4 NPT HOUSING CLEAN ROOM EMITTER W/5/8 ORIF</t>
  </si>
  <si>
    <t>D09530006VXE0N0</t>
  </si>
  <si>
    <t>D/953 1/2"/21MM VORTEX EMITTER ASSEMBLY DOME FOIL STANDARD PVDF 3/4" MPT ORIFICE 1/4" FPT OUTLET</t>
  </si>
  <si>
    <t>D09530006VXE0TK</t>
  </si>
  <si>
    <t>D953/ EMITTER TRIM KIT BRASS 1/2 ORIFICE 3/4 NPT</t>
  </si>
  <si>
    <t>D09530006VXE0X0</t>
  </si>
  <si>
    <t>D/953 5/8"/15MM VORTEX EMITTER ASSEMBLY DOME FOIL STANDARD STAINLESS STEEL 3/4" MPT ORIFICE 1/4" FPT OUTLET</t>
  </si>
  <si>
    <t>D09530006VXE0XX</t>
  </si>
  <si>
    <t>D/953 1/2"/21MM VORTEX EMITTER ASSEMBLY DOME FOIL STANDARD STAINLESS STEEL 3/4" MPT ORIFICE 1/4" FPT OUTLET</t>
  </si>
  <si>
    <t>D09530006VXWCB3</t>
  </si>
  <si>
    <t>D/953 WATER FLOW CARTRIDGE KIT BRASS  3/4 NPT 0.13 GPM</t>
  </si>
  <si>
    <t>WFK</t>
  </si>
  <si>
    <t>D09530006VXWCB4</t>
  </si>
  <si>
    <t>D/953 WATER FLOW CARTRIDGE KIT BRASS  3/4 NPT 0.26 GPM</t>
  </si>
  <si>
    <t>D09530006VXWCB5</t>
  </si>
  <si>
    <t>D/953 WATER FLOW CARTRIDGE KIT BRASS  3/4 NPT 0.53 GPM</t>
  </si>
  <si>
    <t>D09530006VXWCB6</t>
  </si>
  <si>
    <t>D/953 WATER FLOW CARTRIDGE KIT BRASS  3/4 NPT 1.06 GPM</t>
  </si>
  <si>
    <t>D09530006VXWCB7</t>
  </si>
  <si>
    <t>D/953 WATER FLOW CARTRIDGE KIT BRASS  3/4 NPT 0.79 GPM</t>
  </si>
  <si>
    <t>D09530006VXWCX3</t>
  </si>
  <si>
    <t>D/953 WATER FLOW CARTRIDGE KIT SS 3/4 NPT 0.13 GPM</t>
  </si>
  <si>
    <t>D09530006VXWCX4</t>
  </si>
  <si>
    <t>D/953 WATER FLOW CARTRIDGE KIT SS 3/4 NPT 0.26 GPM</t>
  </si>
  <si>
    <t>D09530006VXWCX5</t>
  </si>
  <si>
    <t>D/953 WATER FLOW CARTRIDGE KIT SS 3/4 NPT 0.53 GPM</t>
  </si>
  <si>
    <t>D09530006VXWCX6</t>
  </si>
  <si>
    <t>D/953 WATER FLOW CARTRIDGE KIT SS 3/4 NPT 1.06 GPM</t>
  </si>
  <si>
    <t>D09530006VXWCX7</t>
  </si>
  <si>
    <t>D/953 WATER FLOW CARTRIDGE KIT SS 3/4 NPT 0.79 GPM</t>
  </si>
  <si>
    <t>D09530010VXE0DF</t>
  </si>
  <si>
    <t>D/953 1"/33MM VORTEX EMITTER ASSEMBLY DOME FOIL ESCUTCHEON STAINLESS STEEL 1" FPT ORIFICE 1/8" FPT OUTLET</t>
  </si>
  <si>
    <t>1</t>
  </si>
  <si>
    <t>E09530003VXKX0</t>
  </si>
  <si>
    <t>@003953KX0</t>
  </si>
  <si>
    <t>EP/953 3/8” VORTEX EMITTER ASSEMBLY WITH HIGH TEMP O-RINGS</t>
  </si>
  <si>
    <t>E- Engineered Products</t>
  </si>
  <si>
    <t>E09530006VX5ETK</t>
  </si>
  <si>
    <t>D953/ EMITTER TRIM KIT BRASS 1/2 ORIFICE 3/4 NPT F/V1500</t>
  </si>
  <si>
    <t>E09530014VXPEG0</t>
  </si>
  <si>
    <t>EP/953 1 1/2"/48MM VORTEX HIGH TEMPERATURE PROTECTIVE RUBBER CAP</t>
  </si>
  <si>
    <t>V2700002- VORTEX - PANELS</t>
  </si>
  <si>
    <t>D09500000VX0BDC</t>
  </si>
  <si>
    <t>D950/ DRY CONTACT VICTAULIC VORTEX BATTERY BOX ASY 26 AMP/HR</t>
  </si>
  <si>
    <t>PSBB</t>
  </si>
  <si>
    <t>D09500000VX2BDC</t>
  </si>
  <si>
    <t>S000950028</t>
  </si>
  <si>
    <t>D950/ BATTERY BOX DRY CONTACT ASY 220V AL1024XR220</t>
  </si>
  <si>
    <t>D09500000VX5CDS</t>
  </si>
  <si>
    <t>S010951020</t>
  </si>
  <si>
    <t>D950/1 VICTAULIC VORTEX DRY CONTACT PANEL SOLONOID REL</t>
  </si>
  <si>
    <t>D09500220VX0BDC</t>
  </si>
  <si>
    <t>D950/ VORTEX BATTERY BOX DRY CONTACT ASSEMBLY 220V</t>
  </si>
  <si>
    <t>D09510000VX110W</t>
  </si>
  <si>
    <t>WIRE 110MM LENGTH VORTEX PANEL</t>
  </si>
  <si>
    <t>D951</t>
  </si>
  <si>
    <t>D09510000VX160W</t>
  </si>
  <si>
    <t>WIRE 160MM LENGTH F/WORTEX PANEL</t>
  </si>
  <si>
    <t>D09510000VXCBFC</t>
  </si>
  <si>
    <t>D951/ CONTROL BLOCK FOR COMBO/FLUID PANNEL CCC</t>
  </si>
  <si>
    <t>D09510000VXCBZC</t>
  </si>
  <si>
    <t>D951/ CONTROL BLOCK FOR ZONE PANNEL CCC</t>
  </si>
  <si>
    <t>D09510002VXB0V0</t>
  </si>
  <si>
    <t>P002951001</t>
  </si>
  <si>
    <t>D951/ 014 NPT HP BLEED VLV #3000</t>
  </si>
  <si>
    <t>D09510004VXPSB1</t>
  </si>
  <si>
    <t>P002951012</t>
  </si>
  <si>
    <t>D951/ 021 NPT POP SAFETY VLV BR 150 PSI</t>
  </si>
  <si>
    <t>D09510010VX2AC0</t>
  </si>
  <si>
    <t>D951/ 033 V2000 COMBO PANEL ACT RELEASE</t>
  </si>
  <si>
    <t>CP1</t>
  </si>
  <si>
    <t>D09510010VX2ACF</t>
  </si>
  <si>
    <t>D951/ 033 V2000 ACTIVE RELEASE FLUID</t>
  </si>
  <si>
    <t>D09510010VX2DCC</t>
  </si>
  <si>
    <t>D951/ 033 V2000 DRY CONTACT COMBO PANEL</t>
  </si>
  <si>
    <t>D09510010VX2DCF</t>
  </si>
  <si>
    <t>D951/ 033 V2000 DRY CONTACT FLUID</t>
  </si>
  <si>
    <t>D09510010VX3ACF</t>
  </si>
  <si>
    <t>D951/ 033 V1000 ACTIVE RELEASE FLUID</t>
  </si>
  <si>
    <t>D09510010VX3ARC</t>
  </si>
  <si>
    <t>D/951 1"/33MM VORTEX COMBINATION PANEL ASSEMBLY ACTIVE RELEASE BALL VALVE</t>
  </si>
  <si>
    <t>D09510010VX3ARF</t>
  </si>
  <si>
    <t>D/951 1"/33MM VORTEX FLUID PANEL ASSEMBLY ACTIVE RELEASE</t>
  </si>
  <si>
    <t>FCP1</t>
  </si>
  <si>
    <t>D09510010VX3DC1</t>
  </si>
  <si>
    <t>D/951 1"/33MM VORTEX COMBINATION PANEL ASSEMBLY DRY CONTACT BALL VALVE</t>
  </si>
  <si>
    <t>D09510010VX3DC2</t>
  </si>
  <si>
    <t>D/951 1"/33MM VORTEX FLUID PANEL ASSEMBLY DRY CONTACT</t>
  </si>
  <si>
    <t>D09510010VX3DCC</t>
  </si>
  <si>
    <t>D951/ 033 V1000 DRY CONTACT COMBO RELEASE</t>
  </si>
  <si>
    <t>D09510010VX3DCF</t>
  </si>
  <si>
    <t>D951/ 033 V1000 DRY CONTACT FLUID</t>
  </si>
  <si>
    <t>D09510010VX5ACC</t>
  </si>
  <si>
    <t>D951/ 033 V1500 ACT REL COMBO PANEL CCC</t>
  </si>
  <si>
    <t>D09510010VX5DCC</t>
  </si>
  <si>
    <t>D951/ 033 V1500 DRY CONTACT COMBO RELEASE CR CPVC</t>
  </si>
  <si>
    <t>D09510010VX5DCF</t>
  </si>
  <si>
    <t>D951/ 033 V1500 DRY CONTACT FLUID</t>
  </si>
  <si>
    <t>D09510010VX5DFL</t>
  </si>
  <si>
    <t>D951/ 033 V1500 DRY CONTACT FLUID CCC</t>
  </si>
  <si>
    <t>D09510010VX5FAR</t>
  </si>
  <si>
    <t>D951/ 033 VORTEX FLUID CONTROL BOX ACTIVE RELEASE</t>
  </si>
  <si>
    <t>D09510010VX5FDC</t>
  </si>
  <si>
    <t>S010951030</t>
  </si>
  <si>
    <t>D951/033 V1500 FLUID PANEL DRY CONTACT</t>
  </si>
  <si>
    <t>D09510010VX5LDC</t>
  </si>
  <si>
    <t>S010951025</t>
  </si>
  <si>
    <t>D951/ 033 V1500 COMBO PANEL DRY CONTACT BALL VICTAULIC VORTE</t>
  </si>
  <si>
    <t>D09510010VX5RDC</t>
  </si>
  <si>
    <t>D951/ 033 VORTEX COMBO PANEL BOX ACTIVE RELEASE BALL VALVE</t>
  </si>
  <si>
    <t>D09510010VX5ZDC</t>
  </si>
  <si>
    <t>D951/ 033 VORTEX PANEL BOX DRY CONTACT H2O BALL VLV RELEASE</t>
  </si>
  <si>
    <t>D09510010VX50AC</t>
  </si>
  <si>
    <t>D951/ 033 V1500 ACT REL COMBO</t>
  </si>
  <si>
    <t>D09510010VX50AF</t>
  </si>
  <si>
    <t>D951/ 033 V1500 ACTIVE RELEASE FLUID</t>
  </si>
  <si>
    <t>D09510010VXARSC</t>
  </si>
  <si>
    <t>D951/ 033 VORTEX COMBO PANEL BOX ACTIVE RELEASE SOLENOID</t>
  </si>
  <si>
    <t>D09510010VXDCZS</t>
  </si>
  <si>
    <t>D951/033 VORTEX ZONE PANEL BOX DRY CONTACT H2O SOL RELEASE</t>
  </si>
  <si>
    <t>D09510010VXI0VM</t>
  </si>
  <si>
    <t>S010951100</t>
  </si>
  <si>
    <t>D951/ 033x048 ISOLATION VALVE MONITOR ONLY</t>
  </si>
  <si>
    <t>D09510014VX2ACC</t>
  </si>
  <si>
    <t>D951/ 048 V2000 COMBO PANEL ACT RELEASE</t>
  </si>
  <si>
    <t>D09510014VX2ACF</t>
  </si>
  <si>
    <t>D951/ 048 V2000 ACTIVE RELEASE FLUID</t>
  </si>
  <si>
    <t>D09510014VX2DRC</t>
  </si>
  <si>
    <t>D951/ 048 V2000 COMBO PANEL DRY RELEASE</t>
  </si>
  <si>
    <t>D09510014VX2DRF</t>
  </si>
  <si>
    <t>D951/ 048 V2000 DRY RELEASE FLUID</t>
  </si>
  <si>
    <t>D09510014VX2Z00</t>
  </si>
  <si>
    <t>D951/048 V2000 PANEL ASY ZONE</t>
  </si>
  <si>
    <t>D09510014VX3ARC</t>
  </si>
  <si>
    <t>D/951 1 1/2"/48MM VORTEX COMBINATION PANEL ASSEMBLY ACTIVE RELEASE BALL VALVE</t>
  </si>
  <si>
    <t>CP15</t>
  </si>
  <si>
    <t>D09510014VX3ARF</t>
  </si>
  <si>
    <t>D/951 1 1/2"/48MM VORTEX FLUID PANEL ASSEMBLY ACTIVE RELEASE</t>
  </si>
  <si>
    <t>FCP15</t>
  </si>
  <si>
    <t>D09510014VX3DCC</t>
  </si>
  <si>
    <t>D/951 1 1/2"/48MM VORTEX COMBINATION PANEL ASSEMBLY DRY CONTACT BALL VALVE</t>
  </si>
  <si>
    <t>D09510014VX3DCF</t>
  </si>
  <si>
    <t>D/951 1 1/2"/48MM VORTEX FLUID PANEL ASSEMBLY DRY CONTACT</t>
  </si>
  <si>
    <t>D09510014VX3DCZ</t>
  </si>
  <si>
    <t>D/951 1 1/2"/48MM VORTEX ZONE PANEL ASSEMBLY DRY CONTACT BALL VALVE</t>
  </si>
  <si>
    <t>ZP15</t>
  </si>
  <si>
    <t>D09510014VX3FAR</t>
  </si>
  <si>
    <t>D951/048 V1000 FLUID PANEL ACTIVE RELEASE</t>
  </si>
  <si>
    <t>D09510014VX3FDR</t>
  </si>
  <si>
    <t>D951/048 V1000 CONTACT FLUID PANEL</t>
  </si>
  <si>
    <t>D09510014VX3ZDR</t>
  </si>
  <si>
    <t>D951/048 V1000 ZONE PANEL BOX DRY CONTACT BALL VALVE RELEASE</t>
  </si>
  <si>
    <t>D09510014VX5ACC</t>
  </si>
  <si>
    <t>D951/ 048 V1500 ACT REL COMBO CCC</t>
  </si>
  <si>
    <t>D09510014VX5DCF</t>
  </si>
  <si>
    <t>D951/ 048 V1500 DRY CONTACT FLUID</t>
  </si>
  <si>
    <t>D09510014VX5DFL</t>
  </si>
  <si>
    <t>D951/ 048 V1500 DRY CONTACT FLUID CCC</t>
  </si>
  <si>
    <t>D09510014VX5FAR</t>
  </si>
  <si>
    <t>D951/048 V1500 FLUID PANEL ACTIVE RELEASE</t>
  </si>
  <si>
    <t>D09510014VX5RCB</t>
  </si>
  <si>
    <t>D951/048 VORTEX FLUID CONTROL BOX ACTIVE RELEASE</t>
  </si>
  <si>
    <t>D09510014VX5RDC</t>
  </si>
  <si>
    <t>D951/ 048 VORTEX COMBO PANEL BOX ACTIVE RELEASE BALL VALVE</t>
  </si>
  <si>
    <t>D09510014VX5RDR</t>
  </si>
  <si>
    <t>S014951038</t>
  </si>
  <si>
    <t>D951/048 V1500 CONTACT FLUID PANEL ASY</t>
  </si>
  <si>
    <t>D09510014VX5Z00</t>
  </si>
  <si>
    <t>D951/048 V1500 PANEL ASY ZONE</t>
  </si>
  <si>
    <t>D09510014VX5Z0C</t>
  </si>
  <si>
    <t>D951/048 V1500 ZONE PANEL ASY CCC</t>
  </si>
  <si>
    <t>D09510014VX5ZDR</t>
  </si>
  <si>
    <t>D951/048 ZONE PANEL BOX DRY CONTACT H2O BALL VALVE RELEASE</t>
  </si>
  <si>
    <t>D09510014VX31AR</t>
  </si>
  <si>
    <t>D951/048 V1000 COMBO PANEL ACTIVE RELEASE BALL</t>
  </si>
  <si>
    <t>D09510014VX31DR</t>
  </si>
  <si>
    <t>D951/048 V1000 COMBO PANEL DRY RELEASE BALL</t>
  </si>
  <si>
    <t>D09510014VX50DR</t>
  </si>
  <si>
    <t>S014951035</t>
  </si>
  <si>
    <t>D951/048 COMBO PANEL DRY RELEASE BALL VALVE</t>
  </si>
  <si>
    <t>D09510014VX51AR</t>
  </si>
  <si>
    <t>D951/048 V1500 COMBO PANEL ACTIVE RELEASE</t>
  </si>
  <si>
    <t>D09510014VX51DC</t>
  </si>
  <si>
    <t>D951/048 COMBO PANEL DRY CONTACT</t>
  </si>
  <si>
    <t>D09510014VXARS0</t>
  </si>
  <si>
    <t>D951/048 VORTEX COMBO PANEL BOX ACTIVE RELEASE SOLENOID</t>
  </si>
  <si>
    <t>D09510014VXDCZS</t>
  </si>
  <si>
    <t>D/951 1 1/2"/48.3MM VORTEX ZONE PANEL BOX DRY CONTACT H2O SOL RELEASE</t>
  </si>
  <si>
    <t>D09510014VXR000</t>
  </si>
  <si>
    <t>D951/ 1 RELIEF VLV W/1.5 MN THD SPENCE MODEL 0043HGA-100</t>
  </si>
  <si>
    <t>RV</t>
  </si>
  <si>
    <t>D09510020VX2Z00</t>
  </si>
  <si>
    <t>D951/060 V2000 PANEL ASY ZONE</t>
  </si>
  <si>
    <t>0060</t>
  </si>
  <si>
    <t>D09510020VX3DCZ</t>
  </si>
  <si>
    <t>D/951 2"/60MM VORTEX ZONE PANEL ASSEMBLY DRY CONTACT BALL VALVE</t>
  </si>
  <si>
    <t>ZP2</t>
  </si>
  <si>
    <t>D09510020VX3ZDR</t>
  </si>
  <si>
    <t>D951/060 V1000 ZONE PANEL BOX DRY CONTACT BALL VALVE RELEASE</t>
  </si>
  <si>
    <t>D09510020VX5Z00</t>
  </si>
  <si>
    <t>D951/060 V1500 PANEL ASY ZONE</t>
  </si>
  <si>
    <t>D09510020VX5Z0C</t>
  </si>
  <si>
    <t>D951/060 V1500 ZONE PANEL ASY CCC</t>
  </si>
  <si>
    <t>D09510020VX5ZDR</t>
  </si>
  <si>
    <t>D951/ 060 ZONE PANEL BOX DRY CONTACT H2O BALL VALVE RELEASE</t>
  </si>
  <si>
    <t>D09510020VXRV00</t>
  </si>
  <si>
    <t>D951/ RELIEF VALVE W/2 MN THD SPENCE NO 0043-JHA-100</t>
  </si>
  <si>
    <t>D09550010VXANVA</t>
  </si>
  <si>
    <t>S010955018</t>
  </si>
  <si>
    <t>D0955/033 PANEL ASY ACTUATOR NEEDLE VALVE ASY</t>
  </si>
  <si>
    <t>V27100000- VORTEX 500</t>
  </si>
  <si>
    <t>D955</t>
  </si>
  <si>
    <t>P0950000000V0HS</t>
  </si>
  <si>
    <t>P950/951 SCR #6-32x3/8 BUTTON HD CAP HEX SOC ASME B18.3 F835 ALY STL</t>
  </si>
  <si>
    <t>P09500000000W60</t>
  </si>
  <si>
    <t>P950/951 WASHER #6 NOMINAL PLIAN .156 X .375 X .049 ASME B18.21.1 PLT</t>
  </si>
  <si>
    <t>V2700003- VORTEX - CYLINDERS</t>
  </si>
  <si>
    <t>D950/1/2 NPTX10</t>
  </si>
  <si>
    <t>D950/1/2 NPTF STR ELL90 304SS ASME B16.3 CLASS 150 PLAIN 3C</t>
  </si>
  <si>
    <t>D0950000VXPMO0A</t>
  </si>
  <si>
    <t>D/950 PRIMARY SOLENOID RELEASE ASSEMBLY W/MANUAL OVERRIDE</t>
  </si>
  <si>
    <t>SP</t>
  </si>
  <si>
    <t>D0950000VXTA00A</t>
  </si>
  <si>
    <t>D/950 THREAD ADAPTER ASSEMBLY FOR CGA 677 CONNECTION POINT</t>
  </si>
  <si>
    <t>DHK</t>
  </si>
  <si>
    <t>D09500000VX0M30</t>
  </si>
  <si>
    <t>D950/ VORTEX MANIFOLD ASY 3 PORT 37 1/8" LONG</t>
  </si>
  <si>
    <t>D09500000VX0MFA</t>
  </si>
  <si>
    <t>D950/ VORTEX MANIFOLD FILL ASSEMBLY</t>
  </si>
  <si>
    <t>D09500000VX0PRG</t>
  </si>
  <si>
    <t>D950/ PRIMARY SLO RELEASE ASY W/MANUAL OVERRIDE W/ GAUGE</t>
  </si>
  <si>
    <t>D09500000VX00SP</t>
  </si>
  <si>
    <t>D950/ VORTEX CYLINDER SECONDARY PILOT KIT</t>
  </si>
  <si>
    <t>D09500000VX3CWR</t>
  </si>
  <si>
    <t>D950/VORTEX WALL MOUNT RACK STL ASY FOR 3 80L CYLINDERS</t>
  </si>
  <si>
    <t>CSR</t>
  </si>
  <si>
    <t>D09500000VX4CIG</t>
  </si>
  <si>
    <t>S000950AB2</t>
  </si>
  <si>
    <t>D950/SYS CYL ASY ISERT GAL VALVE MUELLER 25E/345 BAR-49L CYL</t>
  </si>
  <si>
    <t>D09500000VX4T06</t>
  </si>
  <si>
    <t>D950/TANK 49L 6T X 2 ROWS TOP MIDDLE WALL MOUNT</t>
  </si>
  <si>
    <t>D09500000VX6CWR</t>
  </si>
  <si>
    <t>D950/VORTEX WALL MOUNT RACK STL ASY FOR 6 80L CYLINDERS 1x6</t>
  </si>
  <si>
    <t>D09500000VX8C0C</t>
  </si>
  <si>
    <t>D950/ CYL 25E THD 80L GB STANDARD CCC</t>
  </si>
  <si>
    <t>D09500000VX8CAD</t>
  </si>
  <si>
    <t>D/950 VORTEX GAS CYLINDER ASSEMBLY 25E THREAD 80L DOT WITH VALVE</t>
  </si>
  <si>
    <t>D09500000VX8CCG</t>
  </si>
  <si>
    <t>D950/ CYLINDER CAP F/80L GB CYLINDER ASSEMBLY</t>
  </si>
  <si>
    <t>D09500000VX8CIG</t>
  </si>
  <si>
    <t>S000950AB1</t>
  </si>
  <si>
    <t>D950/80L CYL ASY INERT GAS VLV MUELLER #470B0019 25E/345 BAR</t>
  </si>
  <si>
    <t>D09500000VX8WM1</t>
  </si>
  <si>
    <t>D950/VORTEX WALL MOUNT RACK STL ASY FOR 12 80L CYLINDERS 6x2</t>
  </si>
  <si>
    <t>D09500000VX8WM2</t>
  </si>
  <si>
    <t>D950/VORTEX WALL MOUNT RACK STL ASY FOR 4 80L CYLINDERS 2x2</t>
  </si>
  <si>
    <t>D09500000VX8WM3</t>
  </si>
  <si>
    <t>D950/ VORTEX WALL MOUNT RACK STL ASY FOR 6 80L CYLINDERS 3x2</t>
  </si>
  <si>
    <t>D09500000VX8WM4</t>
  </si>
  <si>
    <t>D950/ VORTEX WALL MOUNT RACK STL ASY FOR 8 80L CYLINDERS 4x2</t>
  </si>
  <si>
    <t>D09500000VX8WM7</t>
  </si>
  <si>
    <t>D950/VORTEX WALL MOUNT RACK STL ASY FOR 4 80L CYLINDERS 1x4</t>
  </si>
  <si>
    <t>D09500000VX8WM8</t>
  </si>
  <si>
    <t>D950/VORTEX WALL MOUNT RACK STL ASY FOR 2 80L CYLINDERS 2x1</t>
  </si>
  <si>
    <t>D09500000VX0009</t>
  </si>
  <si>
    <t>D950/ 3 TANKSx1 ROW VICTAULIC VORTEX TOP &amp; MIDDLE WALL MOUNT</t>
  </si>
  <si>
    <t>CSRUNI</t>
  </si>
  <si>
    <t>D09500000VX800D</t>
  </si>
  <si>
    <t>D/950 VORTEX PRESSURE VESSEL REFILLABLE GAS CYLINDER 25E THREAD 80L DOT</t>
  </si>
  <si>
    <t>D09500000VXCCV0</t>
  </si>
  <si>
    <t>D950/ COVER F/CYL FILL ADP W/CHECK VALVE ASY UPVC THK=0.198"</t>
  </si>
  <si>
    <t>N/A- To Be Defined</t>
  </si>
  <si>
    <t>D09500000VXCGBC</t>
  </si>
  <si>
    <t>D950/ CYLINDER GB STANDARD CCC</t>
  </si>
  <si>
    <t>D09500000VXFAWK</t>
  </si>
  <si>
    <t>D950/ FILL ASSEMBLY F/WATER TANK TRIM KIT 3C</t>
  </si>
  <si>
    <t>D09500000VXGSKC</t>
  </si>
  <si>
    <t>D950/ VORTEX SUPPRESSION SECONDARY KIT W/GAUGE CCC</t>
  </si>
  <si>
    <t>D09500000VXLL3K</t>
  </si>
  <si>
    <t>D950/LIQUID LEVEL SWITCH F/30GAL WATER TANK TRIM KT 3C</t>
  </si>
  <si>
    <t>D09500000VXMPSS</t>
  </si>
  <si>
    <t>D950/ PRIM SOL REL ASY W/MANUAL OVERDRIVE SUP SYS W/O GAUGE</t>
  </si>
  <si>
    <t>D09500000VXNI30</t>
  </si>
  <si>
    <t>950/NITROGEN INLET ASY F/30 GAL WATER TANK TRIM KIT 3C</t>
  </si>
  <si>
    <t>D09500000VXPN80</t>
  </si>
  <si>
    <t>D950/ PROTECTIVE MESH NETTING HDPE F/80L GB STD CYL ASY</t>
  </si>
  <si>
    <t>D09500000VXPPK0</t>
  </si>
  <si>
    <t>D950/ VORTEX CYLINDER PRIMARY PILOT KIT</t>
  </si>
  <si>
    <t>D09500000VXPPKC</t>
  </si>
  <si>
    <t>D950/ VORTEX SUPPRESSION PRIMARY PILOT KIT CCC</t>
  </si>
  <si>
    <t>D09500000VXPV00</t>
  </si>
  <si>
    <t>D950/PRS VESSEL VERT GB150 RATED 1.4MPA 114L/410 VOLUMN 3C</t>
  </si>
  <si>
    <t>D09500000VXPVR3</t>
  </si>
  <si>
    <t>D950/PRS VEL REFILLABLE GASCYL SMLS NECK RNG THD 25E TAP 80L</t>
  </si>
  <si>
    <t>D09500000VXS000</t>
  </si>
  <si>
    <t>D950/ VICTAULIC VORTEX SUPPRESSION SYS STD CYL ASY S000950AA</t>
  </si>
  <si>
    <t>CYL</t>
  </si>
  <si>
    <t>D09500000VXSC0A</t>
  </si>
  <si>
    <t>D950/ 49L SUPPRESSION SYS STD CYL ASY</t>
  </si>
  <si>
    <t>D09500000VXSM16</t>
  </si>
  <si>
    <t>D950/ VORTEX MANIFOLD ASY 12 PORT DOUBLE ROW 74 1/8" LONG</t>
  </si>
  <si>
    <t>MAN</t>
  </si>
  <si>
    <t>D09500000VXSM20</t>
  </si>
  <si>
    <t>D950/VORTEX MANIFOLD ASY 2 PORT 24 1/8" LONG</t>
  </si>
  <si>
    <t>D09500000VXSM40</t>
  </si>
  <si>
    <t>D950/ VORTEX MANIFOLD ASY 4 PORT 50 1/8" LONG</t>
  </si>
  <si>
    <t>D09500000VXSM42</t>
  </si>
  <si>
    <t>D950/ VORTEX MANIFOLD ASY 4 PORT DOUBLE  ROW 24 1/8" LONG</t>
  </si>
  <si>
    <t>D09500000VXSM60</t>
  </si>
  <si>
    <t>D950/ VORTEX MANIFOLD ASY 6 PORT 74 1/8" LONG</t>
  </si>
  <si>
    <t>D09500000VXSM63</t>
  </si>
  <si>
    <t>D950/ VORTEX MANIFOLD ASY 6 PORT DOUBLE  ROW 37 1/8" LONG</t>
  </si>
  <si>
    <t>D09500000VXSM84</t>
  </si>
  <si>
    <t>D950/ VORTEX MANIFOLD ASY 8 PORT DOUBLE  ROW 50 1/8" LONG</t>
  </si>
  <si>
    <t>D09500000VXSPPG</t>
  </si>
  <si>
    <t>D950/ SECONDARY PILOT KIT W/GAUGE &amp; PRESSURE SWTCH</t>
  </si>
  <si>
    <t>D09500000VXSPRM</t>
  </si>
  <si>
    <t>S000950B33</t>
  </si>
  <si>
    <t>D950/ PRIMARY SLO RELEASE ASY W/MANUAL OVERRIDE W/O GAUGE</t>
  </si>
  <si>
    <t>D09500000VXSS4S</t>
  </si>
  <si>
    <t>S4909550SP</t>
  </si>
  <si>
    <t>D/950 SUPPRESSION SYSTEM SECONDARY PILOT KIT F/49L</t>
  </si>
  <si>
    <t>D09500000VXSWSS</t>
  </si>
  <si>
    <t>D950/ SEC ASY W/O GAUGE SUPP SYS SERIES 950 CCC</t>
  </si>
  <si>
    <t>D09500000VXT0A5</t>
  </si>
  <si>
    <t>D950/ VORTEX THREAD ADP ASY F/CGA 580 CONNECTION POINT</t>
  </si>
  <si>
    <t>D09500000VXT4W2</t>
  </si>
  <si>
    <t>D950/2 TANKSx1 ROW 950 49L TOP/MIDDLE WALL MOUNT RACK ASY</t>
  </si>
  <si>
    <t>D09500000VXTAMA</t>
  </si>
  <si>
    <t>D950/THREAD ADP ASY BS341 No.3, G 5/8 THREAD PER BS2779 MALE</t>
  </si>
  <si>
    <t>D09500000VXTMW1</t>
  </si>
  <si>
    <t>D950/ 2TANKSx2 ROW VICTAULIC VORTEX TOP &amp; MIDDLE WALL MOUNT</t>
  </si>
  <si>
    <t>D09500000VXTMW2</t>
  </si>
  <si>
    <t>D950/ 2 TANKSx1 ROW VICTAULIC VORTEX TOP &amp; MIDDLE WALL MOUNT</t>
  </si>
  <si>
    <t>D09500000VXTMW3</t>
  </si>
  <si>
    <t>D950/ 3 TANKSx2 ROW VICTAULIC VORTEX TOP &amp; MIDDLE WALL MOUNT</t>
  </si>
  <si>
    <t>D09500000VXTMW4</t>
  </si>
  <si>
    <t>D950/ 4 TANKSx2 ROW TOP &amp; MIDDLE WALL MOUNT RACK ASY</t>
  </si>
  <si>
    <t>D09500000VXTMW6</t>
  </si>
  <si>
    <t>D950/ 6 TANKSx2 ROW TOP &amp; MIDDLE WALL MOUNT RACK ASY</t>
  </si>
  <si>
    <t>D09500000VXTMW8</t>
  </si>
  <si>
    <t>D950/ 6 TANKSx1 ROW TOP &amp; MIDDLE WALL MOUNT RACK ASY</t>
  </si>
  <si>
    <t>D09500000VXTMW9</t>
  </si>
  <si>
    <t>D950/ 4 TANKSx1 ROW TOP &amp; MIDDLE WALL MOUNT RACK ASY</t>
  </si>
  <si>
    <t>D09500000VXVPTX</t>
  </si>
  <si>
    <t>D950/PRS VESSEL VERT GB150 RATED 1.4MPA 227L/410 VOLUMN 3C</t>
  </si>
  <si>
    <t>D09500000VXWM8B</t>
  </si>
  <si>
    <t>D950/VORTEX WALL MOUNT RACK STL ASY F/4 80L CYLINDERS 4x1 3C</t>
  </si>
  <si>
    <t>D09500000VXWM8Z</t>
  </si>
  <si>
    <t>D950/VORTEX WALL MOUNT RACK STL ASY F/2 80L CYLINDERS 2x1 3C</t>
  </si>
  <si>
    <t>D09500000VXWM40</t>
  </si>
  <si>
    <t>D950/WALL MNT RACK ASY F/4 49 LTR CYLINDERS</t>
  </si>
  <si>
    <t>D09500000VXWM82</t>
  </si>
  <si>
    <t>D950/VORTEX WALL MOUNT RACK STL ASY F/4 80L CYLINDERS 2x2 3C</t>
  </si>
  <si>
    <t>D09500000VXWM83</t>
  </si>
  <si>
    <t>D950/VORTEX WALL MOUNT RACK STL ASY F/6 80L CYLINDERS 3x2 3C</t>
  </si>
  <si>
    <t>D09500000VXWM84</t>
  </si>
  <si>
    <t>D950/VORTEX WALL MOUNT RACK STL ASY F/8 80L CYLINDERS 4x2 3C</t>
  </si>
  <si>
    <t>D09500000VXWM86</t>
  </si>
  <si>
    <t>D950/VORTEX WALL MOUNT RACK STL ASY F/12 80L CYLINDER 6x2 3C</t>
  </si>
  <si>
    <t>D09500000VXWM88</t>
  </si>
  <si>
    <t>D950/VORTEX WALL MOUNT RACK STL ASY F/6 80L CYLINDERS 6x1 3C</t>
  </si>
  <si>
    <t>D09500000VXWM89</t>
  </si>
  <si>
    <t>D950/VORTEX WALL MOUNT RACK STL ASY F/3 80L CYLINDERS 3x1 3C</t>
  </si>
  <si>
    <t>D09500000VXWT3T</t>
  </si>
  <si>
    <t>D/950 WATER TANK WITH TRIM ASSEMBLY 114 L 3C</t>
  </si>
  <si>
    <t>D09500000VXWT6T</t>
  </si>
  <si>
    <t>D/950 WATER TANK WITH TRIM ASSEMBLY 227L 3C</t>
  </si>
  <si>
    <t>D09500000VXWTDR</t>
  </si>
  <si>
    <t>S000950DVA</t>
  </si>
  <si>
    <t>D/950 VORTEX WATER TANK TRIM KIT DRAIN VALVE ASSEMBLY</t>
  </si>
  <si>
    <t>D09500000VXWTDV</t>
  </si>
  <si>
    <t>D950/DRAIN VALVE ASY F/WATER TANK TRIM KIT ASY 3C</t>
  </si>
  <si>
    <t>D09500000VXWTFI</t>
  </si>
  <si>
    <t>S000950FIL</t>
  </si>
  <si>
    <t>D/950 VORTEX FILL ASSEMBLY 70 PED CE</t>
  </si>
  <si>
    <t>D09500000VXWTGA</t>
  </si>
  <si>
    <t>S100950GAS</t>
  </si>
  <si>
    <t>D/950 VORTEX GAUGE ASSEMBLY 70 PED CE</t>
  </si>
  <si>
    <t>D09500000VXWTLI</t>
  </si>
  <si>
    <t>S000950LIQ</t>
  </si>
  <si>
    <t>D/950 VORTEX LIQUID LEVEL SWITCH ASSEMBLY GEMS 164870</t>
  </si>
  <si>
    <t>D09500000VXWTNT</t>
  </si>
  <si>
    <t>S000950NTG</t>
  </si>
  <si>
    <t>D/950 VORTEX NITROGEN INLET ASSEMBLY 70 PED CE</t>
  </si>
  <si>
    <t>D09500000VXWTTK</t>
  </si>
  <si>
    <t>D950/GAUGE ASY F/WATER TANK TRIM KIT ASY 3C</t>
  </si>
  <si>
    <t>D09500002VXPGL4</t>
  </si>
  <si>
    <t>D950/PRS GA 1/4 NPTM 0-40MPa LOWER MOUNT 63mm DIA FACE SS</t>
  </si>
  <si>
    <t>D09500002VXPGLM</t>
  </si>
  <si>
    <t>D950/PRS GA 1/4 NPTM 0-1.6MPa LOWER MOUNT 63mm DIA FACE SS</t>
  </si>
  <si>
    <t>D09500002VXPH00</t>
  </si>
  <si>
    <t>D950/VORTEX PILOT HOSE ASY 500 1/4"</t>
  </si>
  <si>
    <t>D09500004VXSPH0</t>
  </si>
  <si>
    <t>D950/VORTEX PILOT HOSE ASY 700 1/4" BSPP X 1/4" BSPP</t>
  </si>
  <si>
    <t>D09500490VXSSPP</t>
  </si>
  <si>
    <t>S4909550PP</t>
  </si>
  <si>
    <t>D/950 SUPPRESSION SYS PRIMARY PILOT KIT F/49L</t>
  </si>
  <si>
    <t>D09502400VX0M2S</t>
  </si>
  <si>
    <t>D950/VORTEX MANIFOLD ASY 2 PORT SINGLE ROW 24" LONG 3C</t>
  </si>
  <si>
    <t>D09502400VX0M4D</t>
  </si>
  <si>
    <t>D950/VORTEX MANIFOLD ASY 4 PORT DOUBLE ROW 24" LONG 3C</t>
  </si>
  <si>
    <t>D09503700VX0M3S</t>
  </si>
  <si>
    <t>D950/VORTEX MANIFOLD ASY 3 PORT SINGLE ROW 37" LONG 3C</t>
  </si>
  <si>
    <t>D09503700VX0M6D</t>
  </si>
  <si>
    <t>D950/VORTEX MANIFOLD ASY 6 PORT DOUBLE ROW 37" LONG 3C</t>
  </si>
  <si>
    <t>D09505000VX0M4S</t>
  </si>
  <si>
    <t>D950/VORTEX MANIFOLD ASY 4 PORT SINGLE ROW 50" LONG 3C</t>
  </si>
  <si>
    <t>D09505000VX0M8D</t>
  </si>
  <si>
    <t>D950/VORTEX MANIFOLD ASY 8 PORT DOUBLE ROW 50" LONG 3C</t>
  </si>
  <si>
    <t>D09507400VX0M1D</t>
  </si>
  <si>
    <t>D950/VORTEX MANIFOLD ASY 12 PORT DOUBLE ROW 74" LONG 3C</t>
  </si>
  <si>
    <t>D09507400VX0M6S</t>
  </si>
  <si>
    <t>D950/VORTEX MANIFOLD ASY 6 PORT SINGLE ROW 74" LONG 3C</t>
  </si>
  <si>
    <t>D095000000VX4P0</t>
  </si>
  <si>
    <t>D950/ SUPPRESSION SYS PRIMARY PILOT KIT F/49L CYLINDER UNITS</t>
  </si>
  <si>
    <t>D09500000000007</t>
  </si>
  <si>
    <t>D950/ REFILL ADAPTER KIT ASY FOR NITROGEN CYLINDER</t>
  </si>
  <si>
    <t>D09500000000071</t>
  </si>
  <si>
    <t>S000950ACE</t>
  </si>
  <si>
    <t>D950/BULK NITROGEN SUPPLY 4 TUBE 38FT ASME SA372 GRJ CL70 CE</t>
  </si>
  <si>
    <t>D09500000000097</t>
  </si>
  <si>
    <t>S000950ACX</t>
  </si>
  <si>
    <t>P09500002ZZSX3F</t>
  </si>
  <si>
    <t>D950/STREET TEE 1/4 NPTFxNPTFxNPTM 304SS PLAIN 3C</t>
  </si>
  <si>
    <t>P09500004ZZSX3F</t>
  </si>
  <si>
    <t>D950/STREET TEE 1/2 NPTFxNPTFxNPTM 304SS PLAIN 3C</t>
  </si>
  <si>
    <t>P09500004ZZX0LN</t>
  </si>
  <si>
    <t>D950/1/2 NPTx1 1/2  LONG NPL 304SS PLAIN SCH40 ASTM A733 3C</t>
  </si>
  <si>
    <t>P09500004ZZXBHN</t>
  </si>
  <si>
    <t>D950/BUSHING HEX HD 1 NPTM x 1/2 NPTF CLASS150 304SS PLAIN</t>
  </si>
  <si>
    <t>P09500004ZZXSE0</t>
  </si>
  <si>
    <t>P09500006ZZFX30</t>
  </si>
  <si>
    <t>D950/3/4 GHT FEMx NPTM SWVL HEX FEM CONN HS ADP SS304 PLN 3C</t>
  </si>
  <si>
    <t>P09500006ZZXD3F</t>
  </si>
  <si>
    <t>D950//STREET ELL90 3/4 NPTFxNPTM 304SS PLAIN CLASS 150 3C</t>
  </si>
  <si>
    <t>P09500006ZZXP00</t>
  </si>
  <si>
    <t>D950/GA SIG WIN W/REFLECTOR 3/4 NPTM 250 PSI SS POLY BALL 3C</t>
  </si>
  <si>
    <t>P09500006ZZXZ30</t>
  </si>
  <si>
    <t>D950/3/4 NPTxCLOSE NPL ASTM A733  304SS/40S  PLAIN 3C</t>
  </si>
  <si>
    <t>P0950000410X0LN</t>
  </si>
  <si>
    <t>D950/1/2 NPTx10 LONG NIPPLE  304SS PLAIN  ASTM A733 SCH40 3C</t>
  </si>
  <si>
    <t>P09500000000BNM</t>
  </si>
  <si>
    <t>D950/BASE NUT F/BS341 No.3, G 5/8 THREAD PER BS2779 MALE ADP</t>
  </si>
  <si>
    <t>P09500000000SNT</t>
  </si>
  <si>
    <t>P002950002</t>
  </si>
  <si>
    <t>D950/ SEAL NUT THD ADP ASY F/CGA 580 CON PT</t>
  </si>
  <si>
    <t>P09500000000URA</t>
  </si>
  <si>
    <t>P000950037</t>
  </si>
  <si>
    <t>D950/ STEM SEAT REFILL ADAPTER ASY</t>
  </si>
  <si>
    <t>Z09500VXSS00000</t>
  </si>
  <si>
    <t>Z000950115</t>
  </si>
  <si>
    <t>M950/ SUPPRESSION SYSTEM INFL TAG</t>
  </si>
  <si>
    <t>Z- Label, Tag, Shipping Supplies</t>
  </si>
  <si>
    <t>ZL2127600000000</t>
  </si>
  <si>
    <t>Z212760LBL</t>
  </si>
  <si>
    <t>VICTAULIC VORTEX WATER TANK FILLING PROCEDURE</t>
  </si>
  <si>
    <t>V2700004- VORTEX - WATER SUPPLY</t>
  </si>
  <si>
    <t>D09500000VX8CE0</t>
  </si>
  <si>
    <t>D950/ 80L EMPTY VORTEX SYSTEM CYL STANDARD ASSEMBLY</t>
  </si>
  <si>
    <t>D09500000VXPV14</t>
  </si>
  <si>
    <t>P000950130</t>
  </si>
  <si>
    <t>D950/10 GAL USE VOL PRS VESSEL VERT ASME RATE 200 PSI 14 DIA</t>
  </si>
  <si>
    <t>D09500000VXPV29</t>
  </si>
  <si>
    <t>P000950134</t>
  </si>
  <si>
    <t>D950/120 GAL USE VOL PRS VESSEL VERT ASME RATE 200PSI 24 DIA</t>
  </si>
  <si>
    <t>D09500000VXPV36</t>
  </si>
  <si>
    <t>P000950131</t>
  </si>
  <si>
    <t>D950/30 GAL USE VOL PRS VESSEL VERT ASME RATE 200 PSI 16 DIA</t>
  </si>
  <si>
    <t>D09500000VXPV47</t>
  </si>
  <si>
    <t>P000950136</t>
  </si>
  <si>
    <t>D950/400 GAL USE VOL PRS VESSEL VERT ASME RATE 200PSI 36 DIA</t>
  </si>
  <si>
    <t>D09500000VXPV53</t>
  </si>
  <si>
    <t>P000950135</t>
  </si>
  <si>
    <t>D950/200 GAL USE VOL PRS VESSEL VERT ASME RATE 200PSI 30 DIA</t>
  </si>
  <si>
    <t>D09500000VXPV62</t>
  </si>
  <si>
    <t>P000950132</t>
  </si>
  <si>
    <t>D950/60 GAL USE VOL PRS VESSEL VERT ASME RATE 200 PSI 20 DIA</t>
  </si>
  <si>
    <t>D09500000VXPV89</t>
  </si>
  <si>
    <t>P000950133</t>
  </si>
  <si>
    <t>D950/80 GAL USE VOL PRS VESSEL VERT ASME RATE 200 PSI 24 DIA</t>
  </si>
  <si>
    <t>D09500000VXSS4E</t>
  </si>
  <si>
    <t>S000950E02</t>
  </si>
  <si>
    <t>D950/ 49L EMPTY VORTEX SUPPRESSION SYS STD CYL ASY</t>
  </si>
  <si>
    <t>D09500000VXWT00</t>
  </si>
  <si>
    <t>D/950 WATER TANK ASY SS316L 300L WITHOUT TRIMMING PARTS CE</t>
  </si>
  <si>
    <t>D09500000VXWT01</t>
  </si>
  <si>
    <t>D/950 WATER TANK ASY 120 GAL</t>
  </si>
  <si>
    <t>D09500000VXWT60</t>
  </si>
  <si>
    <t>D/950 WATER TANK ASY 60 GAL</t>
  </si>
  <si>
    <t>D09500000VXWT80</t>
  </si>
  <si>
    <t>D/950 WATER TANK ASY 80 GAL</t>
  </si>
  <si>
    <t>D09500000VXWTX1</t>
  </si>
  <si>
    <t>D/950 WATER TANK ASY UPDATED DESIGN 100L  SS316L CE</t>
  </si>
  <si>
    <t>XVX</t>
  </si>
  <si>
    <t>TANK</t>
  </si>
  <si>
    <t>D09500000VXWTX3</t>
  </si>
  <si>
    <t>D/950 WATER TANK ASY 300L SS316L CE</t>
  </si>
  <si>
    <t>D09500000VXWTX5</t>
  </si>
  <si>
    <t>S000950X50</t>
  </si>
  <si>
    <t>D/950 WATER TANK ASY 500L SS316L CE</t>
  </si>
  <si>
    <t>D09500000VXWTX6</t>
  </si>
  <si>
    <t>D/950 WATER TANK ASY 1500L SS316L CE</t>
  </si>
  <si>
    <t>D09500000VXWTX7</t>
  </si>
  <si>
    <t>D/950 WATER TANK ASY 750L SS316L CE</t>
  </si>
  <si>
    <t>D09500000VXWTXA</t>
  </si>
  <si>
    <t>D/950 WATER TANK ASY 1000L SS316L CE</t>
  </si>
  <si>
    <t>D09500000VXWTXS</t>
  </si>
  <si>
    <t>D/950 WATER TANK ASY 150L SS316L CE</t>
  </si>
  <si>
    <t>D09500000VXWTXY</t>
  </si>
  <si>
    <t>D950/WATER TANK ASY 3000L SS316L CE</t>
  </si>
  <si>
    <t>D09500002VX00RM</t>
  </si>
  <si>
    <t>D950/ REGULATOR MODIFICATION 1/4 NPT INLETx1/2 NPT OUTLET</t>
  </si>
  <si>
    <t>D09500002VXNSVN</t>
  </si>
  <si>
    <t>D950/REGR W/EXR SAFETY VLV NITROGEN 1/4 NPTF OTLT 200 PSI BR</t>
  </si>
  <si>
    <t>D09500002VXRMN0</t>
  </si>
  <si>
    <t>D950/REGULATOR MODIFICATION 1/4 NPT INLETx1/2 NPT OUTLET CCC</t>
  </si>
  <si>
    <t>D09500004VXHAWT</t>
  </si>
  <si>
    <t>D950/VORTEX HIGH CAPACITY WATER TANK REG W/1/2X36 HOSE</t>
  </si>
  <si>
    <t>D09500010VXWTW0</t>
  </si>
  <si>
    <t>D/950 WATER TANK ASY 10 GAL W/TRIM</t>
  </si>
  <si>
    <t>D09500020VXCY00</t>
  </si>
  <si>
    <t>D/950 SYSTEM ASSEMBLY TWO CYLINDERS PRE-ENGINEERED</t>
  </si>
  <si>
    <t>D09500030VXWT00</t>
  </si>
  <si>
    <t>D/950 WATER TANK ASY 30 GAL</t>
  </si>
  <si>
    <t>D09500030VXWTW0</t>
  </si>
  <si>
    <t>D/950 WATER TANK ASY 30 GAL W/TRIM</t>
  </si>
  <si>
    <t>D09500030VXWTWC</t>
  </si>
  <si>
    <t>D/950 VORTEX WATER TANK ASSEMBLY RED STAINLESS STEEL 30 GALLON WITH TRIM CEALLON</t>
  </si>
  <si>
    <t>D09500060VXWTW0</t>
  </si>
  <si>
    <t>D/950 WATER TANK ASY 60 GAL W/TRIM</t>
  </si>
  <si>
    <t>D09500080VXWTW0</t>
  </si>
  <si>
    <t>D/950 WATER TANK ASY 80 GAL W/TRIM</t>
  </si>
  <si>
    <t>D09500200VXWT00</t>
  </si>
  <si>
    <t>D/950 WATER TANK ASY 200 GAL</t>
  </si>
  <si>
    <t>D09501200VXWTW0</t>
  </si>
  <si>
    <t>D/950 WATER TANK ASY 120 GAL W/TRIM</t>
  </si>
  <si>
    <t>D09502000VXWTW0</t>
  </si>
  <si>
    <t>D/950 WATER TANK ASY 200 GAL W/TRIM</t>
  </si>
  <si>
    <t>D09504000VXWTW0</t>
  </si>
  <si>
    <t>D/950 WATER TANK ASY 400 GAL W/TRIM</t>
  </si>
  <si>
    <t>D09500000000043</t>
  </si>
  <si>
    <t>D/950 WATER TANK ASY 100L SS316L CE</t>
  </si>
  <si>
    <t>D09500000000076</t>
  </si>
  <si>
    <t>D09500000000082</t>
  </si>
  <si>
    <t>D950/ REGULATOR MODIFICATION 1/4 NPT INLx1/2 NPT OTLT W/O GA</t>
  </si>
  <si>
    <t>E09500000VXBGST</t>
  </si>
  <si>
    <t>D950/BULK GAS SERVICE TUBE (4 TUBE ASY)</t>
  </si>
  <si>
    <t>10- Prel. item</t>
  </si>
  <si>
    <t>K09500000VXWTRR</t>
  </si>
  <si>
    <t>K/950 KIT WATER TANK REGULATOR TAMPER RESISTANT FOR VORTEX</t>
  </si>
  <si>
    <t>K- Kits, Koils, Repair Kits, Pump Drop</t>
  </si>
  <si>
    <t>K950</t>
  </si>
  <si>
    <t>K0950000000WTT1</t>
  </si>
  <si>
    <t>K120950139</t>
  </si>
  <si>
    <t>K/950 120 GAL AND UP WATER TANK TRIM(-02)</t>
  </si>
  <si>
    <t>K0950000000WTTT</t>
  </si>
  <si>
    <t>K100950149</t>
  </si>
  <si>
    <t>K/950 10 GAL TO 80 GAL WATER TANK TRIM (-01)</t>
  </si>
  <si>
    <t>P09500002ZZX900</t>
  </si>
  <si>
    <t>P002745X03</t>
  </si>
  <si>
    <t>D950/1/4 MNPTx3 FT SS BRAID 304SS GA HOSE ASY</t>
  </si>
  <si>
    <t>V14745000- FIREPAC DEVICE KIT</t>
  </si>
  <si>
    <t>V2700005- VORTEX - VORTEX 500</t>
  </si>
  <si>
    <t>D09550000VX0FCB</t>
  </si>
  <si>
    <t>S000955018</t>
  </si>
  <si>
    <t>D/955 FLUID CONTROL BOX VITAULIC VORTEX</t>
  </si>
  <si>
    <t>D09550000VX0ZWE</t>
  </si>
  <si>
    <t>S02X955002</t>
  </si>
  <si>
    <t>D955/ 1 80L CYL &amp; 1 49L CYL ASY W/O ENCLOSURE</t>
  </si>
  <si>
    <t>D09550000VX1CYL</t>
  </si>
  <si>
    <t>P000955012</t>
  </si>
  <si>
    <t>D/955 RESTRAINT F/1 CYLINDER (FRONT BRACKET)</t>
  </si>
  <si>
    <t>D09550000VX3CYL</t>
  </si>
  <si>
    <t>P000955013</t>
  </si>
  <si>
    <t>D/955 RESTRAINT F/3 CYLINDER (FRONT BRACKET)</t>
  </si>
  <si>
    <t>D09550000VX9ZC0</t>
  </si>
  <si>
    <t>S02X955C02</t>
  </si>
  <si>
    <t>D950/1 80L 1 49L V500 WITH CABINET</t>
  </si>
  <si>
    <t>D09550000VX43CE</t>
  </si>
  <si>
    <t>S490955C03</t>
  </si>
  <si>
    <t>D955/ THREE 49L CYL ASY W/ENCLOSURE</t>
  </si>
  <si>
    <t>D09550000VX43CW</t>
  </si>
  <si>
    <t>S490955003</t>
  </si>
  <si>
    <t>D955/ THREE 49L CYL ASY W/O ENCLOSURE</t>
  </si>
  <si>
    <t>D09550000VX54C0</t>
  </si>
  <si>
    <t>S490955001</t>
  </si>
  <si>
    <t>D955/ 500 ASY 1 CYLINDER 49L</t>
  </si>
  <si>
    <t>D09550000VX82EP</t>
  </si>
  <si>
    <t>D955/ VORTEX 80L EMPTY 200BAR POWERCOAT SL+ 25E TPED, BRIPAC</t>
  </si>
  <si>
    <t>VORTEX</t>
  </si>
  <si>
    <t>D09550000VX82ER</t>
  </si>
  <si>
    <t>D955/ VORTEX 80L 200BAR RAL9005 25E TPED EU USE EMPTY</t>
  </si>
  <si>
    <t>D09550000VX82FP</t>
  </si>
  <si>
    <t>D955/ VORTEX 80L FILLED 200BAR POWERCOAT SL+ 25E TPED, BRIPA</t>
  </si>
  <si>
    <t>D09550000VX82FR</t>
  </si>
  <si>
    <t>D/955 VORTEX 80L 200BAR RAL 9005 25E TPED -EU USE - FILLED</t>
  </si>
  <si>
    <t>D09550000VX83CE</t>
  </si>
  <si>
    <t>D955/ THREE 80L CYLINDER ASY W/ENCLOSURE</t>
  </si>
  <si>
    <t>D09550000VX941Z</t>
  </si>
  <si>
    <t>S4909550V1</t>
  </si>
  <si>
    <t>D955/ 1x49L VORTEX 500 W/O CYLINDER &amp; ENCLOSURE</t>
  </si>
  <si>
    <t>D09550000VX942Z</t>
  </si>
  <si>
    <t>S4909550V2</t>
  </si>
  <si>
    <t>D955/ 2x49L VORTEX 500 W/O CYLINDER &amp; ENCLOSURE</t>
  </si>
  <si>
    <t>D09550000VX943Z</t>
  </si>
  <si>
    <t>S4909550V3</t>
  </si>
  <si>
    <t>D955/ 3x49L VORTEX 500 W/O CYLINDER &amp; ENCLOSURE</t>
  </si>
  <si>
    <t>D09550000VX944C</t>
  </si>
  <si>
    <t>D955/ 4 49L V500 WITH CABINET</t>
  </si>
  <si>
    <t>D09550000VX944Z</t>
  </si>
  <si>
    <t>S4909550V4</t>
  </si>
  <si>
    <t>D955/ 4x49L VORTEX 500 W/O CYLINDER &amp; ENCLOSURE</t>
  </si>
  <si>
    <t>D09550000VX981Z</t>
  </si>
  <si>
    <t>S8009550V1</t>
  </si>
  <si>
    <t>D955/ 1x80L VORTEX 500 W/O CYLINDER &amp; ENCLOSURE</t>
  </si>
  <si>
    <t>D09550000VX982Z</t>
  </si>
  <si>
    <t>S8009550V2</t>
  </si>
  <si>
    <t>D955/ 2x80L VORTEX 500 W/O CYLINDER &amp; ENCLOSURE</t>
  </si>
  <si>
    <t>D09550000VX983Z</t>
  </si>
  <si>
    <t>S8009550V3</t>
  </si>
  <si>
    <t>D955/ 3x80L VORTEX 500 W/O CYLINDER &amp; ENCLOSURE</t>
  </si>
  <si>
    <t>D09550000VX984Z</t>
  </si>
  <si>
    <t>S8009550V4</t>
  </si>
  <si>
    <t>D955/ 4x80L VORTEX 500 W/O CYLINDER &amp; ENCLOSURE</t>
  </si>
  <si>
    <t>D09550000VXBSEN</t>
  </si>
  <si>
    <t>D955/ STRAIGHT ELL 90 1/4 NPT MALE x 7/16-20 MALE BRASS</t>
  </si>
  <si>
    <t>D09550004VXCNEG</t>
  </si>
  <si>
    <t>PCN0955GST</t>
  </si>
  <si>
    <t>D955/ CHANNEL NUT 1/2 STEEL ELECTRO-GLV</t>
  </si>
  <si>
    <t>D09550004VXCWCN</t>
  </si>
  <si>
    <t>PCN0955WSR</t>
  </si>
  <si>
    <t>D955/ NON-SPIN STRUT CHANNEL WASHER F/ROD STL</t>
  </si>
  <si>
    <t>D09550004VXTRSZ</t>
  </si>
  <si>
    <t>PU31955015</t>
  </si>
  <si>
    <t>D955/ THREADED ROD STEEL ZINC PLATED</t>
  </si>
  <si>
    <t>D09550004VXWHC0</t>
  </si>
  <si>
    <t>P004955001</t>
  </si>
  <si>
    <t>D955/ WASHER HELICAL SPG-LOCK REGULAR CS CLEAR ZP</t>
  </si>
  <si>
    <t>CS- Carbon Steel</t>
  </si>
  <si>
    <t>D09550004VXWNCZ</t>
  </si>
  <si>
    <t>P004955003</t>
  </si>
  <si>
    <t>D955/ WING NUT STEEL ZINC PLATED</t>
  </si>
  <si>
    <t>D09550010VX8C0E</t>
  </si>
  <si>
    <t>S800955CE1</t>
  </si>
  <si>
    <t>D955/ VORTEX 1 80L CYLINDER ASY W/ENCLOSURE CE APPROVED</t>
  </si>
  <si>
    <t>D09550010VX8CC0</t>
  </si>
  <si>
    <t>S800955C01</t>
  </si>
  <si>
    <t>D955/ VORTEX 1 80L CYLINDER CABINET</t>
  </si>
  <si>
    <t>50- Discount</t>
  </si>
  <si>
    <t>D09550010VX8CE0</t>
  </si>
  <si>
    <t>S8009550E1</t>
  </si>
  <si>
    <t>D955/ VORTEX  1 80L CYLINDER ASY F/EUROPE ONLY</t>
  </si>
  <si>
    <t>D09550010VX8CNC</t>
  </si>
  <si>
    <t>S800VPPC01</t>
  </si>
  <si>
    <t>D/955 ONE 80L CYL ASY W/CABINET W/O CYLINDER</t>
  </si>
  <si>
    <t>0080</t>
  </si>
  <si>
    <t>D09550010VX8CWE</t>
  </si>
  <si>
    <t>S800955001</t>
  </si>
  <si>
    <t>D955/ VORTEX 1 80L CYLINDER ASY WITHOUT ENCLOSURE</t>
  </si>
  <si>
    <t>D09550010VX40WE</t>
  </si>
  <si>
    <t>D955/ VORTEX 500 1 49L CYLINDER ASY W/ENCLOSURE</t>
  </si>
  <si>
    <t>D09550020VX0ENC</t>
  </si>
  <si>
    <t>S490VPPC02</t>
  </si>
  <si>
    <t>D/955 TWO 49L CYLINDER ASSEMBLY W/ENCLOSURE WITHOUT CYLINDER</t>
  </si>
  <si>
    <t>D09550020VX4CWE</t>
  </si>
  <si>
    <t>S490955C02</t>
  </si>
  <si>
    <t>D955/ VORTEX 2 49L CYLINDER ASY W/ ENCLOSURE</t>
  </si>
  <si>
    <t>D09550020VX8C0E</t>
  </si>
  <si>
    <t>S800955C02</t>
  </si>
  <si>
    <t>D955/ VORTEX 2 80L CYLINDER ASY W/ENCLOSURE</t>
  </si>
  <si>
    <t>D09550020VX8CE0</t>
  </si>
  <si>
    <t>S8009550E2</t>
  </si>
  <si>
    <t>D955/ VORTEX  2 80L CYLINDER ASY F/EUROPE ONLY</t>
  </si>
  <si>
    <t>D09550020VX8CEE</t>
  </si>
  <si>
    <t>S800955CE2</t>
  </si>
  <si>
    <t>D955/ VORTEX 2 80L CYLINDER ASY W/ENCLOSURE F/EUROPE ONLY</t>
  </si>
  <si>
    <t>80- Not carrd</t>
  </si>
  <si>
    <t>D09550020VX8CPB</t>
  </si>
  <si>
    <t>D/955 VORTEX TWO CYLINDER 80L PRE-BUILT ASSEMBLY DOT FOR S/500</t>
  </si>
  <si>
    <t>D09550020VX8CPF</t>
  </si>
  <si>
    <t>D/955 TWO CYLINDER 80L VORTEX 500 PRE-BUILT CCCF</t>
  </si>
  <si>
    <t>D09550020VX8CWE</t>
  </si>
  <si>
    <t>S800955002</t>
  </si>
  <si>
    <t>D955/ VORTEX 2 80L CYLINDER ASY WITHOUT ENCLOSURE</t>
  </si>
  <si>
    <t>D09550020VX8ENC</t>
  </si>
  <si>
    <t>S800VPPC02</t>
  </si>
  <si>
    <t>D/955 TWO 80L CYL ASY W/ENCLOSURE W/O CYLINDER</t>
  </si>
  <si>
    <t>D09550020VX40WE</t>
  </si>
  <si>
    <t>S490955002</t>
  </si>
  <si>
    <t>D955/ VORTEX 2 49L CYLINDER ASY W/O ENCLOSURE</t>
  </si>
  <si>
    <t>D09550030VX4ENC</t>
  </si>
  <si>
    <t>S490VPPC03</t>
  </si>
  <si>
    <t>D/955 THREE 49L CYL ASY W/ENCLOSURE W/O CYLINDER</t>
  </si>
  <si>
    <t>D09550030VX8CE0</t>
  </si>
  <si>
    <t>S8009550E3</t>
  </si>
  <si>
    <t>D955/ VORTEX 3 80L CYLINDER ASY F/EUROPE ONLY</t>
  </si>
  <si>
    <t>D09550030VX8CEE</t>
  </si>
  <si>
    <t>D955/ VORTEX 3 80L CYLINDER ASY W/ENCLOSURE F/EUROPE ONLY</t>
  </si>
  <si>
    <t>D09550030VX8CWE</t>
  </si>
  <si>
    <t>S800955003</t>
  </si>
  <si>
    <t>D955/ VORTEX 3 80L CYLINDER ASY W/O ENCLOSURE</t>
  </si>
  <si>
    <t>D09550030VX8ENC</t>
  </si>
  <si>
    <t>D/955 THREE 80L CYL ASY W/ENCLOSURE W/O CYLINDER</t>
  </si>
  <si>
    <t>D09550040VX4CWE</t>
  </si>
  <si>
    <t>S490955004</t>
  </si>
  <si>
    <t>D955/ VORTEX 4 49L CYLINDER ASY W/O ENCLOSURE</t>
  </si>
  <si>
    <t>D09550040VX8C0E</t>
  </si>
  <si>
    <t>S800955C04</t>
  </si>
  <si>
    <t>D955/ VORTEX 4 80L CYLINDER ASY W/ENCLOSURE</t>
  </si>
  <si>
    <t>D09550040VX8CE0</t>
  </si>
  <si>
    <t>S8009550E4</t>
  </si>
  <si>
    <t>D955/ VORTEX 4 80L CYLINDER ASY F/EUROPE ONLY</t>
  </si>
  <si>
    <t>D09550040VX8CEE</t>
  </si>
  <si>
    <t>D955/ VORTEX 4 80L CYLINDER ASY W/ENCLOSURE F/EUROPE ONLY</t>
  </si>
  <si>
    <t>D09550040VX8CPF</t>
  </si>
  <si>
    <t>D/955 FOUR CYLINDER 80L VORTEX 500 PRE-BUILT CCCF</t>
  </si>
  <si>
    <t>D09550040VX8CWE</t>
  </si>
  <si>
    <t>S800955004</t>
  </si>
  <si>
    <t>D955/ VORTEX 4 80L CYLINDER ASY WITHOUT ENCLOSURE</t>
  </si>
  <si>
    <t>D09550040VX8ENC</t>
  </si>
  <si>
    <t>D/955 FOUR 80L CYLINDER ASSEMBLY WITH ENCLOSURE WITHOUT CYLINDER</t>
  </si>
  <si>
    <t>D09550040VX40C0</t>
  </si>
  <si>
    <t>D/955 FOUR 49L CYL ASY WITH CABINENT WITHOUT CYLINDER</t>
  </si>
  <si>
    <t>D09550040VX90C0</t>
  </si>
  <si>
    <t>P000955004</t>
  </si>
  <si>
    <t>D955/ 4x80 CABINET F/V500</t>
  </si>
  <si>
    <t>D09550049VX04WN</t>
  </si>
  <si>
    <t>S490VPPC01</t>
  </si>
  <si>
    <t>D/955 1 49L CYL ASY W/ENCLOSURE W/O CYLINDER</t>
  </si>
  <si>
    <t>D09550800VX00PF</t>
  </si>
  <si>
    <t>D/955 PREBUILT FRAME ASY F/80L VORTEX 500 CCCF</t>
  </si>
  <si>
    <t>D09550049000003</t>
  </si>
  <si>
    <t>D955/ VORTEX 955 1 49L CYLINDER ASY W/O ENCLOSURE</t>
  </si>
  <si>
    <t>D09550080000030</t>
  </si>
  <si>
    <t>D955/ VORTEX 2 80L CYLINDER ASY W/ENCLOSURE W/O CYL OR PILOT</t>
  </si>
  <si>
    <t>E09510000VX58PF</t>
  </si>
  <si>
    <t>D951/ VORTEX 1500 FRAM PRE-BUILT 80L</t>
  </si>
  <si>
    <t>E09510000VX8230</t>
  </si>
  <si>
    <t>D951/ VORTEX 2 80L CYLINDER W/30GALLON WATER TANK PRE-BUILT</t>
  </si>
  <si>
    <t>E09550000VX82ER</t>
  </si>
  <si>
    <t>D955/ VORTEX 80L 200BAR RAL9005 25E TPED -EU USE - EMPTY</t>
  </si>
  <si>
    <t>E09550000VX82FR</t>
  </si>
  <si>
    <t>D955/ VORTEX 80L 200BAR RAL9005 25E TPED -EU USE - FILLED</t>
  </si>
  <si>
    <t>V2700006- VORTEX - MISCELLANEOUS</t>
  </si>
  <si>
    <t>BSI00030000Z00V</t>
  </si>
  <si>
    <t>3/8" SCREW/NUT/WASHER CARBON STEEL PLATED F/VORTEX 500</t>
  </si>
  <si>
    <t>B- Bolts/Nuts/Fasteners</t>
  </si>
  <si>
    <t>0M10</t>
  </si>
  <si>
    <t>BOLTS</t>
  </si>
  <si>
    <t>D09500000VX0AIP</t>
  </si>
  <si>
    <t>Z000950002</t>
  </si>
  <si>
    <t>D950/INST PLACARD VACATING THE AREA WHEN ALARM SOUNDS 4973</t>
  </si>
  <si>
    <t>D09500000VXB122</t>
  </si>
  <si>
    <t>BAT-12120 12V 12 AH BATTERY SEALED 950</t>
  </si>
  <si>
    <t>V14901000- ELECTRICAL ACCESSORIES - ALL SIZES</t>
  </si>
  <si>
    <t>D09500000VXBR10</t>
  </si>
  <si>
    <t>D950/ BTY RECHG SEALED LEAD ACID 12V 12AMP/HR OR AGM 12-12</t>
  </si>
  <si>
    <t>D09500000VXCG80</t>
  </si>
  <si>
    <t>D950/CYLINDER GROUP ASY TAG 80L 14183-CHI CCC</t>
  </si>
  <si>
    <t>D09500000VXCHAN</t>
  </si>
  <si>
    <t>P000950081</t>
  </si>
  <si>
    <t>D/950 SIDE CHANNEL 3.000x1.498x.258 THKx84.00 LG ASTM A36</t>
  </si>
  <si>
    <t>0000</t>
  </si>
  <si>
    <t>D09500000VXCPCT</t>
  </si>
  <si>
    <t>D/950 VORTEX 500 IDENTIFICATION PLASTIC CARD CHINESE TRANSLATION</t>
  </si>
  <si>
    <t>D09500000VXCPMC</t>
  </si>
  <si>
    <t>P010951034</t>
  </si>
  <si>
    <t>D951/CNTL PANELW/MTG CLIPS AND D89 TO 10 PIN FLAT RIBBON CBL</t>
  </si>
  <si>
    <t>D09500000VXDCBB</t>
  </si>
  <si>
    <t>D950/ DRY CONTACT BATTERY BACKUP POWER SUPPLY 220VAC</t>
  </si>
  <si>
    <t>D09500000VXIP1C</t>
  </si>
  <si>
    <t>VORTEX 1500 IDENTIFICATION PLACARD 150CA COMB PANEL 9255-CHI</t>
  </si>
  <si>
    <t>D09500000VXIP1F</t>
  </si>
  <si>
    <t>VORTEX 1500 IDENTIFICATION PLACARD 150CA FLUID PANEL 9263CHI</t>
  </si>
  <si>
    <t>D09500000VXIP3C</t>
  </si>
  <si>
    <t>VORTEX 1500 IDENTIFICATION PLACARD 300CA COMB PANEL 9254-CHI</t>
  </si>
  <si>
    <t>D09500000VXIP3F</t>
  </si>
  <si>
    <t>VORTEX 1500 IDENTIFICATION PLACARD 300CA FLUID PANEL 9262CHI</t>
  </si>
  <si>
    <t>D09500000VXIPZP</t>
  </si>
  <si>
    <t>VORTEX 1500 IDENTIFICATION PLACARD ZONE PANEL 9270CHI</t>
  </si>
  <si>
    <t>D09500000VXIWT0</t>
  </si>
  <si>
    <t>D950/VICTAULIC VORTEX WARNING TAG WARNING READ INSTRUCTIONS</t>
  </si>
  <si>
    <t>D09500000VXLLCA</t>
  </si>
  <si>
    <t>D950/VORTEX LOGO LABEL FOR CYLINDER ASSEMBLY 5342-CHI</t>
  </si>
  <si>
    <t>D09500000VXLMPT</t>
  </si>
  <si>
    <t>MANUAL OVERRIDE PULL PIN AND TWIST DISCHARGE LABEL 6660-CHI</t>
  </si>
  <si>
    <t>D09500000VXLXB3</t>
  </si>
  <si>
    <t>D950/PANEL LBL XSWPG 30/20 (VORTEX 500B) 14188-CHI CCC</t>
  </si>
  <si>
    <t>D09500000VXLXC1</t>
  </si>
  <si>
    <t>D950/PANEL LBL XSWPG 114/20 (VORTEX 1500B) 14190-CHI CCC</t>
  </si>
  <si>
    <t>D09500000VXLXC2</t>
  </si>
  <si>
    <t>D950/PANEL LBL XSWPG 227/20 (VORTEX 1500B) 14193-CHI CCC</t>
  </si>
  <si>
    <t>D09500000VXLXD1</t>
  </si>
  <si>
    <t>D950/PANEL LBL XSWPG 114/20 (VORTEX 1500S) 14191-CHI CCC</t>
  </si>
  <si>
    <t>D09500000VXLXD2</t>
  </si>
  <si>
    <t>D950/PANEL LBL XSWPG 227/20 (VORTEX 1500S) 14194-CHI CCC</t>
  </si>
  <si>
    <t>D09500000VXLXE1</t>
  </si>
  <si>
    <t>D950/PANEL LBL XSWPG 114/20 (VORTEX 1500SE) 14192-CHI CCC</t>
  </si>
  <si>
    <t>D09500000VXLXE2</t>
  </si>
  <si>
    <t>D950/PANEL LBL XSWPG 227/20 (VORTEX 1500SE) 14195-CHI CCC</t>
  </si>
  <si>
    <t>D09500000VXLXS3</t>
  </si>
  <si>
    <t>D950/PANEL LBL XSWPG 30/20 (VORTEX 500S) 14189-CHI CCC</t>
  </si>
  <si>
    <t>D09500000VXLZQ4</t>
  </si>
  <si>
    <t>D950/ZONE PANEL LBL XSW-FZ 25/1(Q40/0.17) 14196-CHI CCC</t>
  </si>
  <si>
    <t>D09500000VXLZQ5</t>
  </si>
  <si>
    <t>D950/ZONE PANEL LBL XSW-FZ 25/1(Q50/0.17) 14197-CHI CCC</t>
  </si>
  <si>
    <t>D09500000VXMPSI</t>
  </si>
  <si>
    <t>D950/INST PLACARD MANUAL PULL STATION VORTEX FIRE 4976</t>
  </si>
  <si>
    <t>D09500000VXMPSP</t>
  </si>
  <si>
    <t>D950/INST PLACARD MANUAL PULL STATION VORTEX FIRE 4976-CHI</t>
  </si>
  <si>
    <t>D09500000VXNCL0</t>
  </si>
  <si>
    <t>D950/VICTAULIC VORTEX NITROGEN CYLINDER WARNING LABEL</t>
  </si>
  <si>
    <t>D09500000VXNFAK</t>
  </si>
  <si>
    <t>D950/ NITROGEN REFILL ADP KIT INFO LBL MALE G5/8 FEMALE G3/4</t>
  </si>
  <si>
    <t>D09500000VXPG00</t>
  </si>
  <si>
    <t>D951/PRS SWTCH GEMS/PS71-30-4MNZ-C-FL48-R FS-100PSIR</t>
  </si>
  <si>
    <t>D09500000VXPIAG</t>
  </si>
  <si>
    <t>D/950/951 ADAPTER FOR GAUGE &amp; PRESSURE SWITCH ISOMATIC #2AD2MP</t>
  </si>
  <si>
    <t>PT</t>
  </si>
  <si>
    <t>D09500000VXPMO0</t>
  </si>
  <si>
    <t>D950/ PRIMARY SOLENOID RELEASE ASSEMBLY W/MANUAL OVERRIDE</t>
  </si>
  <si>
    <t>D09500000VXPT0D</t>
  </si>
  <si>
    <t>D951/ PRESSURE TRANSDUCER DWYER #626-10-CH-P1-ES-S1 - 100PSI</t>
  </si>
  <si>
    <t>D09500000VXSPMG</t>
  </si>
  <si>
    <t>D950/ SECONDARY PRESSURE MONITORING ASSEMBLY W/ GAUGE</t>
  </si>
  <si>
    <t>D09500000VXSPPM</t>
  </si>
  <si>
    <t>D950/SECONDARY PILOT KIT W/PRESSURE MONITORING ASSEMBLY</t>
  </si>
  <si>
    <t>D09500000VXSPPW</t>
  </si>
  <si>
    <t>P000950137</t>
  </si>
  <si>
    <t>D/950 ADP F/SECONDARY PILOT GAUGE W/PRESSURE SWTH NO GAUGE</t>
  </si>
  <si>
    <t>D09500000VXSSAG</t>
  </si>
  <si>
    <t>D950/ SECONDARY PRESSURE MONITORING ASSEMBLY</t>
  </si>
  <si>
    <t>D09500000VXSSAW</t>
  </si>
  <si>
    <t>S000950B19</t>
  </si>
  <si>
    <t>D950/ SECONDARY PRESSURE MONITORING ASSEMBLY W/O GAUGE</t>
  </si>
  <si>
    <t>D09500000VXSSO0</t>
  </si>
  <si>
    <t>S000950BA3</t>
  </si>
  <si>
    <t>D/950 SUPPRESSION SYS ORANGE PAINT PENDENT BLICK#21337-4501</t>
  </si>
  <si>
    <t>D09500000VXSWCS</t>
  </si>
  <si>
    <t>D950/ SUPPRESSION SYSTEM 951 WASHER CRUSH SNUBBER ASY</t>
  </si>
  <si>
    <t>D09500000VXT01C</t>
  </si>
  <si>
    <t>D950/WATER TANK ASY TAG 114L 14185-CHI CCC</t>
  </si>
  <si>
    <t>D09500000VXT02C</t>
  </si>
  <si>
    <t>D950/WATER TANK ASY TAG 227L 14186-CHI CCC</t>
  </si>
  <si>
    <t>D09500000VXT03C</t>
  </si>
  <si>
    <t>D950/WATER TANK ASY TAG 30L 14184-CHI CCC</t>
  </si>
  <si>
    <t>D09500000VXTRVP</t>
  </si>
  <si>
    <t>D951/ TRANSDUCER RELIEF VLV VORTEX PANELS EXP PRF</t>
  </si>
  <si>
    <t>D09500000VXVWIP</t>
  </si>
  <si>
    <t>Z000950003</t>
  </si>
  <si>
    <t>D950/INST PLACARD WARNING FOR VENTILATING THE AREA 4974</t>
  </si>
  <si>
    <t>D09500000VXVWT0</t>
  </si>
  <si>
    <t>D950/VICTAULIC VORTEX WARNING TAG WARNING VACATE AREA</t>
  </si>
  <si>
    <t>D09500000VXWPHZ</t>
  </si>
  <si>
    <t>D950/VORTEX WARNING PLACARD VACATE AREA HAZARD ZONE 5522-CHI</t>
  </si>
  <si>
    <t>D09500000VXWPJ0</t>
  </si>
  <si>
    <t>D950/VORTEX WARNING PLACARD VACATE AREA HAZARD ZONE 11278CHI</t>
  </si>
  <si>
    <t>D09500000VXWPNC</t>
  </si>
  <si>
    <t>D950/WARNING PLACARD F/NITROGEN CYLINDER 6636-CHI</t>
  </si>
  <si>
    <t>D09500000VXWPOZ</t>
  </si>
  <si>
    <t>D950/WARNING PLACARD PROTECTED AREA OUTSIDE HAZARD 5523-CHI</t>
  </si>
  <si>
    <t>D09500000VXWPQ0</t>
  </si>
  <si>
    <t>D950/WARNING PLACARD PROTECTED AREA OUTSIDE HAZARD 11277-CHI</t>
  </si>
  <si>
    <t>D09500000VXWTB4</t>
  </si>
  <si>
    <t>D951/ WAGO TERMINAL BLOCK 4 POLE 16 CONNECTIONS BLACK</t>
  </si>
  <si>
    <t>D09500002VXSICV</t>
  </si>
  <si>
    <t>D950/ SUPPRESSION SYS T NPL 1/4 BSP ISOMATIC TN14MFM</t>
  </si>
  <si>
    <t>D09500002VXSSFR</t>
  </si>
  <si>
    <t>P000950035</t>
  </si>
  <si>
    <t>D950/SUP SYS FLOW RESTRICTOR 5000-1/4-500 SCCM N2 AT 30 PSIG</t>
  </si>
  <si>
    <t>D09500002VXSSP0</t>
  </si>
  <si>
    <t>D950/SUPPRESSION SYS 1/4 PILOT HOSE ASY 300 ISOMATIC PH300FE</t>
  </si>
  <si>
    <t>D09500002VXSSSB</t>
  </si>
  <si>
    <t>P000950033</t>
  </si>
  <si>
    <t>D950/ SUPPRESSION SYS SNUBBER BDY 1/4 BSPTx1/4 BSPT</t>
  </si>
  <si>
    <t>D09500002VXSWCS</t>
  </si>
  <si>
    <t>D950/ SUPPRESSION SYS SNUBBER ASY1/4 BSPPx1/4 BSPP</t>
  </si>
  <si>
    <t>D09500006VXSICV</t>
  </si>
  <si>
    <t>D950/ SUPPRESSION SYS CKV 3/4 NPTx1/2 BSP ISOMATIC #CV34N12B</t>
  </si>
  <si>
    <t>D09500006VXSPH9</t>
  </si>
  <si>
    <t>D950/ VICTAULIC VORTEX SUPPRESSION SYS POLIT HOSE ASY</t>
  </si>
  <si>
    <t>D09500010VX0MIB</t>
  </si>
  <si>
    <t>D950/VORTEX 1"NPT BALL VALVE SWITCH ASY F/NITROGEN ISOLATION</t>
  </si>
  <si>
    <t>IBVK</t>
  </si>
  <si>
    <t>D09500014VXKMIB</t>
  </si>
  <si>
    <t>D950/VORTEX 1 1/2" NPT BLV SWITCH ASY F/NITROGEN ISOLATION</t>
  </si>
  <si>
    <t>D09510000VX5DU0</t>
  </si>
  <si>
    <t>S010951DM2</t>
  </si>
  <si>
    <t>D951/ V1500 DEMO UNIT 240V VICTAULIC VORTEX</t>
  </si>
  <si>
    <t>DEVCE</t>
  </si>
  <si>
    <t>D09510000VX5DU1</t>
  </si>
  <si>
    <t>S010951DMO</t>
  </si>
  <si>
    <t>D951/ V1500 DEMO UNIT 120V VICTAULIC VORTEX</t>
  </si>
  <si>
    <t>D09510000VX5RAC</t>
  </si>
  <si>
    <t>D951/ V1500 REDUCED FLOW ACTIVE RELEASE COMBO</t>
  </si>
  <si>
    <t>D09510000VX5RAF</t>
  </si>
  <si>
    <t>D951/ V1500 REDUCED FLOW ACTIVE RELEASE FLUID</t>
  </si>
  <si>
    <t>D09510000VX5RDC</t>
  </si>
  <si>
    <t>D951/ V1500 REDUCED FLOW DRY CONTACT COMBO</t>
  </si>
  <si>
    <t>D09510000VX5RDF</t>
  </si>
  <si>
    <t>D951/ V1500 REDUCED FLOW DRY CONTACT FLUID</t>
  </si>
  <si>
    <t>D09510000VXAPSC</t>
  </si>
  <si>
    <t>P000951306</t>
  </si>
  <si>
    <t>M951/ SWITCH ASY PRESSURE W/CONNECTOR 150 PSIG SET POINT</t>
  </si>
  <si>
    <t>D09510000VXB000</t>
  </si>
  <si>
    <t>P000951CTL</t>
  </si>
  <si>
    <t>M951/ BOARD REV D</t>
  </si>
  <si>
    <t>D09510000VXCBC0</t>
  </si>
  <si>
    <t>P000951011</t>
  </si>
  <si>
    <t>M951/ CONTROL BOARD COVER</t>
  </si>
  <si>
    <t>D09510000VXDT0C</t>
  </si>
  <si>
    <t>D951/DEPRESSURIZE ASSEMLBY TAG 14187-CHI CCC</t>
  </si>
  <si>
    <t>D09510000VXFSTO</t>
  </si>
  <si>
    <t>P000951307</t>
  </si>
  <si>
    <t>M951/STANDOFF MALE/FEM THD HEX .250 HEX X .500 LENGTH X 6-32</t>
  </si>
  <si>
    <t>D09510000VXGEMS</t>
  </si>
  <si>
    <t>S000951006</t>
  </si>
  <si>
    <t>ADJUSTABLE PRESSURE SWITCH GEMS PS71-50-4MNZ-C-FL-48-R</t>
  </si>
  <si>
    <t>D09510000VXLLSH</t>
  </si>
  <si>
    <t>P000951061</t>
  </si>
  <si>
    <t>D951/ SWCH LIQUID-LVL HRZ MOUNT TYPE 9 LS-7 SERIES 1/2 NPT</t>
  </si>
  <si>
    <t>D09510000VXMWH0</t>
  </si>
  <si>
    <t>P000951034</t>
  </si>
  <si>
    <t>D/951 V500 WIRE HARNESS</t>
  </si>
  <si>
    <t>D09510000VXPG00</t>
  </si>
  <si>
    <t>P010951064</t>
  </si>
  <si>
    <t>D/951 PRS SWTCH GEMS/PS71-30-4MNZ-C-FL48-R FS-100PSIR</t>
  </si>
  <si>
    <t>D09510000VXPT0D</t>
  </si>
  <si>
    <t>D/951 PRESSURE TRANSDUCER DWYER #626-10-CH-P1-ES-S1 - 100PSI</t>
  </si>
  <si>
    <t>D09510000VXRF40</t>
  </si>
  <si>
    <t>D951/ REPLACEMENT FUSE F/PCB 4 AMP</t>
  </si>
  <si>
    <t>D09510000VXSTOF</t>
  </si>
  <si>
    <t>P000951308</t>
  </si>
  <si>
    <t>M951/ STANDOFF FEM/FEM SS PLAIN .250x1.000 LONGx6-32</t>
  </si>
  <si>
    <t>D09510000VXTRVP</t>
  </si>
  <si>
    <t>D/951 TRANSDUCER RELIEF VLV VORTEX PANELS EXP PRF</t>
  </si>
  <si>
    <t>D09510000VXTS00</t>
  </si>
  <si>
    <t>S024951034</t>
  </si>
  <si>
    <t>D951/ TOUCHSCREEN PT043 VORTEX PROG 2.5 FIRMWARE 2.1.8 W/O</t>
  </si>
  <si>
    <t>D09510000VXWTB4</t>
  </si>
  <si>
    <t>P000951095</t>
  </si>
  <si>
    <t>D/951 WAGO TERMINAL BLOCK 4 POLE 16 CONNECTIONS BLACK</t>
  </si>
  <si>
    <t>D09510002VXBCAP</t>
  </si>
  <si>
    <t>P000951338</t>
  </si>
  <si>
    <t>SCREW 1/4-20x5/8 BUTTON HEAD CAP HEX SOCK ASME B18.3 ASTM</t>
  </si>
  <si>
    <t>D09510002VXN000</t>
  </si>
  <si>
    <t>P002951Z00</t>
  </si>
  <si>
    <t>1/4x1/4x1.45 NPT NPL ALLOY STL CLEAR ZINC PLT MCMASTERCARR</t>
  </si>
  <si>
    <t>D09510002VXTEE3</t>
  </si>
  <si>
    <t>P002951U02</t>
  </si>
  <si>
    <t>1/4 TEE NPT 3000# UPD VICTAULIC VORTEX</t>
  </si>
  <si>
    <t>D09510010VX0AN0</t>
  </si>
  <si>
    <t>D951/ 1 ACT NEEDLE VLV ASY 951</t>
  </si>
  <si>
    <t>D09510010VXBVC0</t>
  </si>
  <si>
    <t>V010951005</t>
  </si>
  <si>
    <t>V/951 1"/33MM BALL VLV W/CONN</t>
  </si>
  <si>
    <t>D09510010VXG000</t>
  </si>
  <si>
    <t>P010951008</t>
  </si>
  <si>
    <t>M951/ 033 RUBBER GROMMET KENNARD 1300 MCMASTER</t>
  </si>
  <si>
    <t>D09510010VXPIPE</t>
  </si>
  <si>
    <t>D/951 1"/33MM CLAMP PIPE POLYPROPYLENE STAUFF #SM533 7PPDP-ASUW3K</t>
  </si>
  <si>
    <t>D09510014VX3AN0</t>
  </si>
  <si>
    <t>V014951000</t>
  </si>
  <si>
    <t>D951/ 048 ACTUATOR/NEEDLE VALVE ASSEMBLY 951</t>
  </si>
  <si>
    <t>D09510050VXRAIL</t>
  </si>
  <si>
    <t>P000951MRL</t>
  </si>
  <si>
    <t>D/951 MOUNTING RAIL 5"CH LENGTH</t>
  </si>
  <si>
    <t>D09510320VXBCAP</t>
  </si>
  <si>
    <t>P000951309</t>
  </si>
  <si>
    <t>SCREW #6-32x5/16 BUTTONHEAD CAP HEX SOCK ASME B18.3 ASTM</t>
  </si>
  <si>
    <t>D09510480VXBVC0</t>
  </si>
  <si>
    <t>V014951005</t>
  </si>
  <si>
    <t>V951/ 048 BALL VLV W/CONN</t>
  </si>
  <si>
    <t>D09530000VXC0OP</t>
  </si>
  <si>
    <t>D953/ COVER EMITTER PLASTIC 5/8 ORIFICE 3/4 NPT</t>
  </si>
  <si>
    <t>D09530002VXC0OP</t>
  </si>
  <si>
    <t>D953/ COVER EMITTER PLASTIC 1/4", 3/8" &amp; 1/2"</t>
  </si>
  <si>
    <t>0042</t>
  </si>
  <si>
    <t>D09530002VXE0BP</t>
  </si>
  <si>
    <t>D953/ 1/4-5/8 PVC BLK PLST CAP F/ESC EMITTER</t>
  </si>
  <si>
    <t>D09530006VX1MXS</t>
  </si>
  <si>
    <t>D953/ DOUBLE SCREEN WYE STRAINER 100MESH SS316 3/4 NPT</t>
  </si>
  <si>
    <t>D09550000VX5AT0</t>
  </si>
  <si>
    <t>VORTEX 500 ALUMINUM INFORMATION TAG 6921-CHI</t>
  </si>
  <si>
    <t>D09550000VX40B0</t>
  </si>
  <si>
    <t>P000955C29</t>
  </si>
  <si>
    <t>D955/DCHG HOSE ASY 1/2BSPPX3/4BSPP 49L ISOMATIC 11 //2 LG</t>
  </si>
  <si>
    <t>D09550000VXHAWT</t>
  </si>
  <si>
    <t>P000955027</t>
  </si>
  <si>
    <t>M955/ HOSE ASY F/WATER TANK</t>
  </si>
  <si>
    <t>M955</t>
  </si>
  <si>
    <t>D09550000VXN000</t>
  </si>
  <si>
    <t>PBM5000C01</t>
  </si>
  <si>
    <t>M/7/16 NPTMx7/16-20 SAE 37 DEGREE MALE FLARE BRASS</t>
  </si>
  <si>
    <t>D09550000VXPGBC</t>
  </si>
  <si>
    <t>D/955 BLEED VALVE SUBASSEMBLY AND PRESS GASUGE CCCF</t>
  </si>
  <si>
    <t>D09550000VXPSMX</t>
  </si>
  <si>
    <t>M955/PRE SWITCH 12-73 PSI G1/8 MALE SS LONGIN CC-S700</t>
  </si>
  <si>
    <t>D09550002VXBCV2</t>
  </si>
  <si>
    <t>S000955C01</t>
  </si>
  <si>
    <t>D/955 1/4x1/4 NPTM BALL CHECK VALVE 2000 PSI 1-2.5 PSI CRACKING PRESSSURE BRASS</t>
  </si>
  <si>
    <t>D09550002VXBFH3</t>
  </si>
  <si>
    <t>D/955 BUSHING FLUSH HD 1/4NPTMx1/8 NPTF CLASS300 IRON PLAIN</t>
  </si>
  <si>
    <t>D09550002VXHEX0</t>
  </si>
  <si>
    <t>P002001Z43</t>
  </si>
  <si>
    <t>LOCKNUT 1/4-20 SERRATED HEX FLANGE REGULAR ASME B.18.16.4</t>
  </si>
  <si>
    <t>D09550002VXMFBA</t>
  </si>
  <si>
    <t>M955/1/4 NPTMx7/16-20 ADAPTER 37 DEGREE MALE FLARE BRASS</t>
  </si>
  <si>
    <t>D09550002VXPSVB</t>
  </si>
  <si>
    <t>S000955030</t>
  </si>
  <si>
    <t>D/955 1/4 NPT MALE POP SAFETY VALVE 175 PSI BRASS NICKLE PLATED</t>
  </si>
  <si>
    <t>D09550002VXRO0X</t>
  </si>
  <si>
    <t>P000955014</t>
  </si>
  <si>
    <t>M955/ RESTRICTED ORIFICE 1/4 NPTx1/4 NPT STAINLESS STEEL</t>
  </si>
  <si>
    <t>D09550002VXSTRT</t>
  </si>
  <si>
    <t>PAW4955001</t>
  </si>
  <si>
    <t>1/4 NPT FEMx1/4 NPT MALEx1/4 NPT FEM STREET TEE CS ZINC PLT</t>
  </si>
  <si>
    <t>D09550004VX40DH</t>
  </si>
  <si>
    <t>D955/DISCHARGE HOSE ASY 49L 1/2 BSPP X 3/4 BSPP</t>
  </si>
  <si>
    <t>D09550010VXEA00</t>
  </si>
  <si>
    <t>P010955040</t>
  </si>
  <si>
    <t>M955/ 033 20"x16" ENCLOSURE ASSEMBLY</t>
  </si>
  <si>
    <t>D09550010VXN0B0</t>
  </si>
  <si>
    <t>D955/1-11/2"/33-48MM NPT NPL SCH80 ASTM A53 TYPE E GRADE B CS BLACK</t>
  </si>
  <si>
    <t>D09550010VXSTRT</t>
  </si>
  <si>
    <t>P010955000</t>
  </si>
  <si>
    <t>M955/1 NPT FEM STREET TEE CL3000 ALLOY STEEL PLAIN</t>
  </si>
  <si>
    <t>D09550010VXTANS</t>
  </si>
  <si>
    <t>S010955306</t>
  </si>
  <si>
    <t>D/955 1"/033MM TRIM ASY NITROGEN SUPPLY ACTUATOR NEEDLE VALVE</t>
  </si>
  <si>
    <t>D09550014VXU300</t>
  </si>
  <si>
    <t>P014955004</t>
  </si>
  <si>
    <t>1 1/2 NPT FEM UNION CL3000 MALLEABLE IRON PLAIN</t>
  </si>
  <si>
    <t>D09550030VXWT33</t>
  </si>
  <si>
    <t>D/955 WATER TANK WITH TRIM ASSEMBLY 30L 3C</t>
  </si>
  <si>
    <t>0030</t>
  </si>
  <si>
    <t>D09550080VX8DH0</t>
  </si>
  <si>
    <t>D955/DISCHARGE HOSE ASY 80L 1/2 BSPP X 3/4 BSPP ISOMATIC</t>
  </si>
  <si>
    <t>D09550080VXSFCA</t>
  </si>
  <si>
    <t>P000955309</t>
  </si>
  <si>
    <t>D/955 8x11 SCHEMATIC FIELD CONN WIRING PANEL SELF ADHESIVE</t>
  </si>
  <si>
    <t>D09550080VXSIWA</t>
  </si>
  <si>
    <t>P000955307</t>
  </si>
  <si>
    <t>D/955 8x11 SCHEMATIC"TERNAL WIRING PANEL SELF ADHESIVE</t>
  </si>
  <si>
    <t>D09550310VXJICX</t>
  </si>
  <si>
    <t>M955/ 790/31" SS JIC HOSE ASSEMBLY</t>
  </si>
  <si>
    <t>0790</t>
  </si>
  <si>
    <t>D09550360VXJICX</t>
  </si>
  <si>
    <t>M955/ 914/36" SS JIC HOSE ASSEMBLY</t>
  </si>
  <si>
    <t>0914</t>
  </si>
  <si>
    <t>D09550480VXJICX</t>
  </si>
  <si>
    <t>M955/ 1220/48" SS JIC HOSE ASSEMBLY</t>
  </si>
  <si>
    <t>1220</t>
  </si>
  <si>
    <t>D095000002VXSBV</t>
  </si>
  <si>
    <t>D950/ 1/4 BLEEDER VALVE ISOMATIC 369H0002</t>
  </si>
  <si>
    <t>D09510000000001</t>
  </si>
  <si>
    <t>D951/ PRESSURE TRANSDUCER 100PSI PROPORTION AIR W/OPG100A</t>
  </si>
  <si>
    <t>D09550000000005</t>
  </si>
  <si>
    <t>D955/ VORTEX 500  2-CABINET ENCLOSURE - DOOR ONLY</t>
  </si>
  <si>
    <t>K09500000VXPK00</t>
  </si>
  <si>
    <t>K/950 REPAIR KIT F/PRIMARY PILOT/SECOND KIT IN PLACE KIT</t>
  </si>
  <si>
    <t>K09500000VXRCCW</t>
  </si>
  <si>
    <t>K/950 REPLACEMENT CRUSHED COPPER WASHER E1235R F/VORTEX PRI/SEC GAUGE</t>
  </si>
  <si>
    <t>K09500010VXCRST</t>
  </si>
  <si>
    <t>K/950 VORTEX CYLINDER RESTRAINT KIT FOR 1-4 CYLINDERS BRONZE BODY</t>
  </si>
  <si>
    <t>CRK</t>
  </si>
  <si>
    <t>K09500024VX8000</t>
  </si>
  <si>
    <t>K/950 VORTEX SYSTEM WITH 80L NITROGEN CYLINDERS</t>
  </si>
  <si>
    <t>K09500050VXCRST</t>
  </si>
  <si>
    <t>K/950 VORTEX CYLINDER RESTRAINT KIT FOR 5-8 CYLINDERS BRONZE BODY</t>
  </si>
  <si>
    <t>K09500090VXCRST</t>
  </si>
  <si>
    <t>K/950 VORTEX CYLINDER RESTRAINT KIT FOR 9-12 CYLINDERS BRONZE BODY</t>
  </si>
  <si>
    <t>K09530006VXWCB1</t>
  </si>
  <si>
    <t>K/953 KIT WATER FLOW CARTRIDGE BRASS 2.11 GPM 3/4" NPT FOR VORTEX</t>
  </si>
  <si>
    <t>0073</t>
  </si>
  <si>
    <t>K09530006VXWCB3</t>
  </si>
  <si>
    <t>K/953 KIT WATER FLOW CARTRIDGE BRASS 4.23 GPM 3/4" NPT FOR VORTEX</t>
  </si>
  <si>
    <t>K09530006VXWCB9</t>
  </si>
  <si>
    <t>K/953 KIT WATER FLOW CARTRIDGE BRASS 1.59 GPM 3/4" NPT FOR VORTEX</t>
  </si>
  <si>
    <t>K09530006VXWCX1</t>
  </si>
  <si>
    <t>K/953 KIT WATER FLOW CARTRIDGE STAINLESS STEEL 2.11 GPM 3/4" NPT FOR VORTEX</t>
  </si>
  <si>
    <t>K09530006VXWCX3</t>
  </si>
  <si>
    <t>K/953 KIT WATER FLOW CARTRIDGE STAINLESS STEEL 4.23 GPM 3/4" NPT FOR VORTEX</t>
  </si>
  <si>
    <t>K09530006VXWCX9</t>
  </si>
  <si>
    <t>K/953 KIT WATER FLOW CARTRIDGE STAINLESS STEEL 1.59 GPM 3/4" NPT FOR VORTEX</t>
  </si>
  <si>
    <t>P09500000RPPPAL</t>
  </si>
  <si>
    <t>P/950 VORTEX REPLACEMENT PAL NUT FOR PRIMARY SOLENOID RELEASE ASSEMBLY</t>
  </si>
  <si>
    <t>P09500004ZZ0WTR</t>
  </si>
  <si>
    <t>P/950 1/2 MNPTx36 SS HOSE FOR WATER TANK REGULATOR END TO END LENGTH 304SS</t>
  </si>
  <si>
    <t>P09500010ZZ0SEF</t>
  </si>
  <si>
    <t>P010955002</t>
  </si>
  <si>
    <t>D950/1 NPT FEMALE 90 STR ELL CL3000 ALLOY STL PLAIN</t>
  </si>
  <si>
    <t>P09500010ZZ00UF</t>
  </si>
  <si>
    <t>P010955004</t>
  </si>
  <si>
    <t>D950/ 1 NPT FEM UNION CL3000 MALLEABLE IRON PLAIN</t>
  </si>
  <si>
    <t>P09510014VXRG00</t>
  </si>
  <si>
    <t>P014951008</t>
  </si>
  <si>
    <t>M951/ 048 RUBBER GROMMET</t>
  </si>
  <si>
    <t>P09550000VXHHBB</t>
  </si>
  <si>
    <t>PY64955M01</t>
  </si>
  <si>
    <t>D955/ 3/4 NPTMx1/4 NPTF HX HEAD BRASS BUSH PLAIN</t>
  </si>
  <si>
    <t>P09550000VXHHSS</t>
  </si>
  <si>
    <t>PU01955M01</t>
  </si>
  <si>
    <t>D955/1x1/4NPTMxF HX HD 316SS BSH PLN MCMASTER CARR #4443K415</t>
  </si>
  <si>
    <t>P09550000VXMIRC</t>
  </si>
  <si>
    <t>P010955005</t>
  </si>
  <si>
    <t>M955/1 NPT FEMx3/4 NPT FEM RD CPL CL150 MALLEABLE IRON PLAIN</t>
  </si>
  <si>
    <t>P0950000000CW00</t>
  </si>
  <si>
    <t>D950/ COPPER WASHER VORTEX BLEED VLV</t>
  </si>
  <si>
    <t>P0950000000PT00</t>
  </si>
  <si>
    <t>D950/100L WATER TANK PLEXIGLASS TUBE</t>
  </si>
  <si>
    <t>PZZZZ0010NPTZHP</t>
  </si>
  <si>
    <t>P010000ZHP</t>
  </si>
  <si>
    <t>M/ 033 HIGH PRESSURE SQUARE HEAD PIPE PLUG PLATED</t>
  </si>
  <si>
    <t>ZL0497600000000</t>
  </si>
  <si>
    <t>MANUAL PULL STATION PLACARD</t>
  </si>
  <si>
    <t>SYWA</t>
  </si>
  <si>
    <t>ZL0552200000000</t>
  </si>
  <si>
    <t>INSIDE ZONE ALARM VACATING PLACARD</t>
  </si>
  <si>
    <t>ZL0552300000000</t>
  </si>
  <si>
    <t>ZONE EXTERNAL LOW OXYGEN CONDITION PLACARD</t>
  </si>
  <si>
    <t>ZL0663600000000</t>
  </si>
  <si>
    <t>RACK PLACARD</t>
  </si>
  <si>
    <t>M3 Item Number</t>
  </si>
  <si>
    <r>
      <t>Victaulic Vortex</t>
    </r>
    <r>
      <rPr>
        <b/>
        <vertAlign val="superscript"/>
        <sz val="18"/>
        <rFont val="Times New Roman"/>
        <family val="1"/>
        <charset val="1"/>
      </rPr>
      <t>®</t>
    </r>
    <r>
      <rPr>
        <b/>
        <sz val="18"/>
        <rFont val="Arial"/>
        <family val="2"/>
        <charset val="1"/>
      </rPr>
      <t xml:space="preserve"> System Product List Price
Effective March </t>
    </r>
    <r>
      <rPr>
        <b/>
        <sz val="18"/>
        <rFont val="Arial"/>
        <family val="2"/>
      </rPr>
      <t>1st, 2025</t>
    </r>
  </si>
  <si>
    <r>
      <t>Victaulic Vortex</t>
    </r>
    <r>
      <rPr>
        <b/>
        <vertAlign val="superscript"/>
        <sz val="18"/>
        <rFont val="Times New Roman"/>
        <family val="1"/>
        <charset val="1"/>
      </rPr>
      <t>®</t>
    </r>
    <r>
      <rPr>
        <b/>
        <sz val="18"/>
        <rFont val="Arial"/>
        <family val="2"/>
        <charset val="1"/>
      </rPr>
      <t xml:space="preserve"> System Product List Price
Effective March 1st, 2025</t>
    </r>
  </si>
  <si>
    <t>D07600000EASPSD</t>
  </si>
  <si>
    <t>V07280010DP3B00</t>
  </si>
  <si>
    <t>V769N0004SE0200</t>
  </si>
  <si>
    <t>ZL1127800000000</t>
  </si>
  <si>
    <t>ZL1127700000000</t>
  </si>
  <si>
    <t>ZL1713100000000</t>
  </si>
  <si>
    <t>ZL1927700000000</t>
  </si>
  <si>
    <t>ZL1988900000000</t>
  </si>
  <si>
    <t>ZL1989000000000</t>
  </si>
  <si>
    <t>ZL1989100000000</t>
  </si>
  <si>
    <t>ZL2107300000000</t>
  </si>
  <si>
    <t>ZL1989200000000</t>
  </si>
  <si>
    <t>Plug for Manifold</t>
  </si>
  <si>
    <t>I-VORTEX/PE.DIOM</t>
  </si>
  <si>
    <t>I-VORTEX.IOM</t>
  </si>
  <si>
    <t>40" Length IGS Flexible Hose</t>
  </si>
  <si>
    <t>Z000VTX00M</t>
  </si>
  <si>
    <t>P006000Z07</t>
  </si>
  <si>
    <t>A480AQBH2V</t>
  </si>
  <si>
    <t>D09500030VXCY00</t>
  </si>
  <si>
    <t>D09500040VXCY00</t>
  </si>
  <si>
    <t> D09500050VXCY00</t>
  </si>
  <si>
    <t>  D09500060VXCY00</t>
  </si>
  <si>
    <t>D09500070VXCY00</t>
  </si>
  <si>
    <t>D09500080VXCY00</t>
  </si>
  <si>
    <t>ZM2014700000000</t>
  </si>
  <si>
    <t>P00000006NPTV00</t>
  </si>
  <si>
    <t>ZM2036200000000</t>
  </si>
  <si>
    <t> D09500040VXCY00</t>
  </si>
  <si>
    <t> D09500070VXCY00</t>
  </si>
  <si>
    <t> D09500080VXCY00</t>
  </si>
  <si>
    <t>AGH1C0480ZZBIFV </t>
  </si>
  <si>
    <t>D095000049VX4S0</t>
  </si>
  <si>
    <t>VICTAULIC VORTEX NITROGEN CYL - 80L W/VALVE UNPRESSURIZED</t>
  </si>
  <si>
    <t>D09500060VXCY00</t>
  </si>
  <si>
    <t>D09500050VXCY00</t>
  </si>
  <si>
    <t>Cylinder Storage Rack, 80L, Structural, Red Painted (1 to 4 cylinders, 2 x 2)</t>
  </si>
  <si>
    <t>Cylinder Storage Rack, 80L, Structural, Red Painted (5 to 8 cylinders, 4 x 2)</t>
  </si>
  <si>
    <t>Cylinder Storage Rack, 80L, Structural, Red Painted (9 to 12 cylinders, 6 x 2)</t>
  </si>
  <si>
    <t>Water Tank Regulator w/ 1/2” x 36” Hose</t>
  </si>
  <si>
    <t>10 Gallon Water Tank, Red, w/ Trim, ASME, FM and CE approved</t>
  </si>
  <si>
    <t xml:space="preserve">S10095014C </t>
  </si>
  <si>
    <t xml:space="preserve">D09500010VXWTRC </t>
  </si>
  <si>
    <t>1/4” Emitter, 953 dome foil, standard, stainless, 3/4” FPT, 1/4” FPT</t>
  </si>
  <si>
    <t>S002953X4F</t>
  </si>
  <si>
    <t>1/4” Emitter, 953 dome foil, escutcheon, stainless, 3/4” FPT, 1/4” FPT</t>
  </si>
  <si>
    <t>S002953X2E</t>
  </si>
  <si>
    <t>1” Emitter, 953/954 dome foil, standard, stainless, 1” FPT, 1/8” FPT</t>
  </si>
  <si>
    <t>S010953501</t>
  </si>
  <si>
    <t>S003953X02</t>
  </si>
  <si>
    <t>S003953001</t>
  </si>
  <si>
    <t>S000953510</t>
  </si>
  <si>
    <t>S005953006</t>
  </si>
  <si>
    <t>D09530002VXESDF</t>
  </si>
  <si>
    <t>D09530002VXEEDF</t>
  </si>
  <si>
    <t>D09530003VXESFF</t>
  </si>
  <si>
    <t>D09540003VXE0CF</t>
  </si>
  <si>
    <t>D09530004VXEXDF</t>
  </si>
  <si>
    <t>D09540005VXESDF</t>
  </si>
  <si>
    <t>D09530010VXESDF</t>
  </si>
  <si>
    <t>P000951140</t>
  </si>
  <si>
    <t>D09510000VXST00</t>
  </si>
  <si>
    <t>1/8" MNPT x 7/16-20 Male JIC Straight Adapter, stainless</t>
  </si>
  <si>
    <t>P001950X00</t>
  </si>
  <si>
    <t>1/4" MNPT x 7/16-20 Male JIC Straight Adapter, stainless</t>
  </si>
  <si>
    <t>1/4" MNPT x 7/16-20 Male JIC Straight Adapter, brass</t>
  </si>
  <si>
    <t>P002950X00</t>
  </si>
  <si>
    <t>1/8" NPT x 1/4" OD Compression, Straight Adapter, polypropylene</t>
  </si>
  <si>
    <t>1/4" MNPT x 7/16-20 Male JIC 90 Degree Adapter, stainless</t>
  </si>
  <si>
    <t>PS35950X00</t>
  </si>
  <si>
    <t>P003953028</t>
  </si>
  <si>
    <t>1/4" NPT x 3/8" OD Compression, Straight Adapter, polypropylene</t>
  </si>
  <si>
    <t>P000950019</t>
  </si>
  <si>
    <t>Nozzle Cap, 1/8" Nozzle, Black</t>
  </si>
  <si>
    <t>Nozzle Cap, 1/4-1/2”,Standard Style Nozzle, Orange</t>
  </si>
  <si>
    <t>P0019530B0</t>
  </si>
  <si>
    <t>Nozzle Cap, 1/4-5/8" Nozzle, Black</t>
  </si>
  <si>
    <t>Nozzle Cap, 1" Nozzle, Black</t>
  </si>
  <si>
    <t>P010953522</t>
  </si>
  <si>
    <t>D09540005VXE0CF</t>
  </si>
  <si>
    <t>D09500010VXCY00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</si>
</sst>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0.0"/>
    <numFmt numFmtId="166" formatCode="_(\$* #,##0_);_(\$* \(#,##0\);_(\$* \-??_);_(@_)"/>
    <numFmt numFmtId="167" formatCode="0.0%"/>
    <numFmt numFmtId="168" formatCode="_(\$* #,##0;_(\$* \(#,##0\);_(\$* \-??\);_(@_)"/>
    <numFmt numFmtId="169" formatCode="_(\$* #,##0&quot;/day&quot;_);_(\$* \(#,##0&quot;/day)&quot;;_(\$* \-??&quot;/day&quot;_);_(@_)"/>
    <numFmt numFmtId="170" formatCode="\$#,##0.00"/>
  </numFmts>
  <fonts count="6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rgb="FF0000FF"/>
      <name val="Arial"/>
      <family val="2"/>
      <charset val="1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b/>
      <sz val="18"/>
      <name val="Arial"/>
      <family val="2"/>
      <charset val="1"/>
    </font>
    <font>
      <b/>
      <vertAlign val="superscript"/>
      <sz val="18"/>
      <name val="Times New Roman"/>
      <family val="1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u/>
      <sz val="11"/>
      <color rgb="FFFF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2"/>
      <name val="Arial"/>
      <family val="2"/>
      <charset val="1"/>
    </font>
    <font>
      <sz val="11"/>
      <color theme="0" tint="-0.14999847407452621"/>
      <name val="Calibri"/>
      <family val="2"/>
      <charset val="1"/>
    </font>
    <font>
      <b/>
      <i/>
      <sz val="12"/>
      <color rgb="FFFF0000"/>
      <name val="Arial"/>
      <family val="2"/>
      <charset val="1"/>
    </font>
    <font>
      <b/>
      <u/>
      <sz val="12"/>
      <color rgb="FFFF0000"/>
      <name val="Arial"/>
      <family val="2"/>
      <charset val="1"/>
    </font>
    <font>
      <sz val="10"/>
      <color theme="1"/>
      <name val="Arial"/>
      <family val="2"/>
      <charset val="1"/>
    </font>
    <font>
      <b/>
      <u/>
      <sz val="10"/>
      <name val="Arial"/>
      <family val="2"/>
      <charset val="1"/>
    </font>
    <font>
      <b/>
      <i/>
      <sz val="12"/>
      <name val="Arial"/>
      <family val="2"/>
      <charset val="1"/>
    </font>
    <font>
      <b/>
      <i/>
      <sz val="16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b/>
      <sz val="11"/>
      <color rgb="FFFF0000"/>
      <name val="Calibri"/>
      <family val="2"/>
      <charset val="1"/>
    </font>
    <font>
      <sz val="10"/>
      <color rgb="FF00B050"/>
      <name val="Arial"/>
      <family val="2"/>
      <charset val="1"/>
    </font>
    <font>
      <b/>
      <i/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8"/>
      <color rgb="FF363636"/>
      <name val="Arial"/>
      <family val="2"/>
    </font>
    <font>
      <sz val="8"/>
      <color rgb="FF363636"/>
      <name val="Arial"/>
      <family val="2"/>
    </font>
    <font>
      <sz val="8"/>
      <color rgb="FFFF000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i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theme="1"/>
      <name val="Aptos"/>
      <family val="2"/>
    </font>
    <font>
      <sz val="8"/>
      <name val="Calibri"/>
      <family val="2"/>
      <charset val="1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Aptos"/>
      <family val="2"/>
    </font>
    <font>
      <sz val="11"/>
      <color theme="1"/>
      <name val="Calibri"/>
      <family val="2"/>
    </font>
    <font>
      <sz val="11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</font>
    <font>
      <sz val="11"/>
      <color theme="6" tint="-0.249977111117893"/>
      <name val="Calibri"/>
      <family val="2"/>
      <scheme val="minor"/>
    </font>
    <font>
      <sz val="10"/>
      <color rgb="FF222222"/>
      <name val="Arial"/>
      <family val="2"/>
    </font>
    <font>
      <sz val="11"/>
      <color rgb="FFFF000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E7E6E6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7" tint="0.79989013336588644"/>
        <bgColor rgb="FFF2F2F2"/>
      </patternFill>
    </fill>
    <fill>
      <patternFill patternType="solid">
        <fgColor theme="1" tint="0.49989318521683401"/>
        <bgColor rgb="FF969696"/>
      </patternFill>
    </fill>
    <fill>
      <patternFill patternType="solid">
        <fgColor theme="2"/>
        <bgColor rgb="FFE2F0D9"/>
      </patternFill>
    </fill>
    <fill>
      <patternFill patternType="solid">
        <fgColor theme="5" tint="0.59987182226020086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rgb="FFFF7F7F"/>
        <bgColor rgb="FFED7D31"/>
      </patternFill>
    </fill>
    <fill>
      <patternFill patternType="solid">
        <fgColor theme="9" tint="0.79989013336588644"/>
        <bgColor rgb="FFE7E6E6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164" fontId="36" fillId="0" borderId="0" applyBorder="0" applyProtection="0"/>
    <xf numFmtId="9" fontId="36" fillId="0" borderId="0" applyBorder="0" applyProtection="0"/>
    <xf numFmtId="164" fontId="36" fillId="0" borderId="0" applyBorder="0" applyProtection="0"/>
    <xf numFmtId="0" fontId="11" fillId="0" borderId="0" applyBorder="0" applyProtection="0"/>
    <xf numFmtId="0" fontId="12" fillId="0" borderId="0"/>
    <xf numFmtId="0" fontId="12" fillId="0" borderId="0"/>
    <xf numFmtId="0" fontId="36" fillId="0" borderId="0"/>
    <xf numFmtId="0" fontId="13" fillId="0" borderId="0"/>
    <xf numFmtId="0" fontId="10" fillId="0" borderId="0"/>
    <xf numFmtId="0" fontId="2" fillId="0" borderId="0"/>
  </cellStyleXfs>
  <cellXfs count="423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/>
    <xf numFmtId="0" fontId="12" fillId="3" borderId="0" xfId="5" applyFill="1" applyAlignment="1" applyProtection="1">
      <alignment readingOrder="1"/>
      <protection hidden="1"/>
    </xf>
    <xf numFmtId="164" fontId="12" fillId="3" borderId="0" xfId="3" applyFont="1" applyFill="1" applyBorder="1" applyAlignment="1" applyProtection="1">
      <alignment readingOrder="1"/>
      <protection hidden="1"/>
    </xf>
    <xf numFmtId="166" fontId="36" fillId="3" borderId="0" xfId="3" applyNumberFormat="1" applyFill="1" applyBorder="1" applyAlignment="1" applyProtection="1">
      <alignment readingOrder="1"/>
      <protection hidden="1"/>
    </xf>
    <xf numFmtId="166" fontId="36" fillId="3" borderId="0" xfId="3" applyNumberFormat="1" applyFill="1" applyBorder="1" applyAlignment="1" applyProtection="1">
      <alignment horizontal="center" vertical="center" readingOrder="1"/>
      <protection hidden="1"/>
    </xf>
    <xf numFmtId="0" fontId="0" fillId="3" borderId="0" xfId="0" applyFill="1"/>
    <xf numFmtId="165" fontId="0" fillId="3" borderId="0" xfId="0" applyNumberFormat="1" applyFill="1"/>
    <xf numFmtId="0" fontId="11" fillId="3" borderId="0" xfId="4" applyFill="1" applyBorder="1" applyAlignment="1" applyProtection="1">
      <alignment wrapText="1" readingOrder="1"/>
      <protection hidden="1"/>
    </xf>
    <xf numFmtId="165" fontId="12" fillId="3" borderId="0" xfId="5" applyNumberFormat="1" applyFill="1" applyAlignment="1" applyProtection="1">
      <alignment readingOrder="1"/>
      <protection hidden="1"/>
    </xf>
    <xf numFmtId="164" fontId="17" fillId="3" borderId="0" xfId="3" applyFont="1" applyFill="1" applyBorder="1" applyAlignment="1" applyProtection="1">
      <alignment horizontal="center" vertical="center" readingOrder="1"/>
      <protection hidden="1"/>
    </xf>
    <xf numFmtId="0" fontId="17" fillId="3" borderId="0" xfId="5" applyFont="1" applyFill="1" applyAlignment="1" applyProtection="1">
      <alignment horizontal="center" readingOrder="1"/>
      <protection hidden="1"/>
    </xf>
    <xf numFmtId="0" fontId="17" fillId="3" borderId="0" xfId="5" applyFont="1" applyFill="1" applyAlignment="1" applyProtection="1">
      <alignment horizontal="center" vertical="center" readingOrder="1"/>
      <protection hidden="1"/>
    </xf>
    <xf numFmtId="0" fontId="18" fillId="0" borderId="0" xfId="5" applyFont="1" applyAlignment="1" applyProtection="1">
      <alignment horizontal="right" wrapText="1" readingOrder="1"/>
      <protection hidden="1"/>
    </xf>
    <xf numFmtId="165" fontId="20" fillId="5" borderId="0" xfId="5" applyNumberFormat="1" applyFont="1" applyFill="1" applyAlignment="1" applyProtection="1">
      <alignment horizontal="left" wrapText="1" readingOrder="1"/>
      <protection hidden="1"/>
    </xf>
    <xf numFmtId="166" fontId="21" fillId="3" borderId="0" xfId="3" applyNumberFormat="1" applyFont="1" applyFill="1" applyBorder="1" applyAlignment="1" applyProtection="1">
      <alignment horizontal="center" vertical="center" readingOrder="1"/>
      <protection hidden="1"/>
    </xf>
    <xf numFmtId="2" fontId="12" fillId="5" borderId="1" xfId="5" applyNumberFormat="1" applyFill="1" applyBorder="1" applyAlignment="1" applyProtection="1">
      <alignment horizontal="center" vertical="center" readingOrder="1"/>
      <protection locked="0"/>
    </xf>
    <xf numFmtId="2" fontId="12" fillId="5" borderId="0" xfId="5" applyNumberFormat="1" applyFill="1" applyAlignment="1" applyProtection="1">
      <alignment horizontal="center" vertical="center" readingOrder="1"/>
      <protection locked="0"/>
    </xf>
    <xf numFmtId="0" fontId="22" fillId="3" borderId="0" xfId="5" applyFont="1" applyFill="1" applyAlignment="1" applyProtection="1">
      <alignment readingOrder="1"/>
      <protection hidden="1"/>
    </xf>
    <xf numFmtId="165" fontId="22" fillId="3" borderId="0" xfId="5" applyNumberFormat="1" applyFont="1" applyFill="1" applyAlignment="1" applyProtection="1">
      <alignment readingOrder="1"/>
      <protection hidden="1"/>
    </xf>
    <xf numFmtId="0" fontId="22" fillId="3" borderId="0" xfId="5" applyFont="1" applyFill="1" applyAlignment="1" applyProtection="1">
      <alignment horizontal="center" vertical="center" readingOrder="1"/>
      <protection hidden="1"/>
    </xf>
    <xf numFmtId="0" fontId="17" fillId="3" borderId="2" xfId="5" applyFont="1" applyFill="1" applyBorder="1" applyAlignment="1" applyProtection="1">
      <alignment horizontal="center" wrapText="1" readingOrder="1"/>
      <protection hidden="1"/>
    </xf>
    <xf numFmtId="165" fontId="17" fillId="3" borderId="3" xfId="5" applyNumberFormat="1" applyFont="1" applyFill="1" applyBorder="1" applyAlignment="1" applyProtection="1">
      <alignment horizontal="center" wrapText="1" readingOrder="1"/>
      <protection hidden="1"/>
    </xf>
    <xf numFmtId="0" fontId="17" fillId="3" borderId="3" xfId="5" applyFont="1" applyFill="1" applyBorder="1" applyAlignment="1" applyProtection="1">
      <alignment horizontal="center" wrapText="1" readingOrder="1"/>
      <protection hidden="1"/>
    </xf>
    <xf numFmtId="0" fontId="17" fillId="3" borderId="4" xfId="5" applyFont="1" applyFill="1" applyBorder="1" applyAlignment="1" applyProtection="1">
      <alignment horizontal="center" wrapText="1" readingOrder="1"/>
      <protection hidden="1"/>
    </xf>
    <xf numFmtId="164" fontId="17" fillId="6" borderId="4" xfId="3" applyFont="1" applyFill="1" applyBorder="1" applyAlignment="1" applyProtection="1">
      <alignment horizontal="center" wrapText="1" readingOrder="1"/>
      <protection hidden="1"/>
    </xf>
    <xf numFmtId="166" fontId="17" fillId="3" borderId="5" xfId="3" applyNumberFormat="1" applyFont="1" applyFill="1" applyBorder="1" applyAlignment="1" applyProtection="1">
      <alignment horizontal="center" wrapText="1" readingOrder="1"/>
      <protection hidden="1"/>
    </xf>
    <xf numFmtId="166" fontId="17" fillId="3" borderId="0" xfId="3" applyNumberFormat="1" applyFont="1" applyFill="1" applyBorder="1" applyAlignment="1" applyProtection="1">
      <alignment horizontal="center" vertical="center" wrapText="1" readingOrder="1"/>
      <protection hidden="1"/>
    </xf>
    <xf numFmtId="166" fontId="17" fillId="3" borderId="0" xfId="3" applyNumberFormat="1" applyFont="1" applyFill="1" applyBorder="1" applyAlignment="1" applyProtection="1">
      <alignment horizontal="center" wrapText="1" readingOrder="1"/>
      <protection hidden="1"/>
    </xf>
    <xf numFmtId="0" fontId="23" fillId="0" borderId="0" xfId="0" applyFont="1" applyAlignment="1">
      <alignment horizontal="center"/>
    </xf>
    <xf numFmtId="0" fontId="17" fillId="7" borderId="2" xfId="5" applyFont="1" applyFill="1" applyBorder="1" applyAlignment="1" applyProtection="1">
      <alignment horizontal="center" wrapText="1" readingOrder="1"/>
      <protection hidden="1"/>
    </xf>
    <xf numFmtId="165" fontId="17" fillId="7" borderId="6" xfId="5" applyNumberFormat="1" applyFont="1" applyFill="1" applyBorder="1" applyAlignment="1" applyProtection="1">
      <alignment horizontal="center" wrapText="1" readingOrder="1"/>
      <protection hidden="1"/>
    </xf>
    <xf numFmtId="0" fontId="17" fillId="7" borderId="6" xfId="5" applyFont="1" applyFill="1" applyBorder="1" applyAlignment="1" applyProtection="1">
      <alignment horizontal="center" wrapText="1" readingOrder="1"/>
      <protection hidden="1"/>
    </xf>
    <xf numFmtId="0" fontId="12" fillId="7" borderId="6" xfId="5" applyFill="1" applyBorder="1" applyAlignment="1" applyProtection="1">
      <alignment horizontal="center" wrapText="1" readingOrder="1"/>
      <protection hidden="1"/>
    </xf>
    <xf numFmtId="164" fontId="17" fillId="7" borderId="6" xfId="3" applyFont="1" applyFill="1" applyBorder="1" applyAlignment="1" applyProtection="1">
      <alignment horizontal="center" readingOrder="1"/>
      <protection hidden="1"/>
    </xf>
    <xf numFmtId="166" fontId="17" fillId="7" borderId="6" xfId="3" applyNumberFormat="1" applyFont="1" applyFill="1" applyBorder="1" applyAlignment="1" applyProtection="1">
      <alignment horizontal="center" wrapText="1" readingOrder="1"/>
      <protection hidden="1"/>
    </xf>
    <xf numFmtId="166" fontId="17" fillId="7" borderId="0" xfId="3" applyNumberFormat="1" applyFont="1" applyFill="1" applyBorder="1" applyAlignment="1" applyProtection="1">
      <alignment horizontal="center" vertical="center" wrapText="1" readingOrder="1"/>
      <protection hidden="1"/>
    </xf>
    <xf numFmtId="166" fontId="17" fillId="7" borderId="0" xfId="3" applyNumberFormat="1" applyFont="1" applyFill="1" applyBorder="1" applyAlignment="1" applyProtection="1">
      <alignment horizontal="center" wrapText="1" readingOrder="1"/>
      <protection hidden="1"/>
    </xf>
    <xf numFmtId="0" fontId="24" fillId="8" borderId="0" xfId="5" applyFont="1" applyFill="1" applyAlignment="1" applyProtection="1">
      <alignment horizontal="center" vertical="center" wrapText="1" readingOrder="1"/>
      <protection hidden="1"/>
    </xf>
    <xf numFmtId="0" fontId="24" fillId="3" borderId="0" xfId="5" applyFont="1" applyFill="1" applyAlignment="1" applyProtection="1">
      <alignment horizontal="center" vertical="center" wrapText="1" readingOrder="1"/>
      <protection hidden="1"/>
    </xf>
    <xf numFmtId="0" fontId="12" fillId="0" borderId="7" xfId="5" applyBorder="1" applyAlignment="1" applyProtection="1">
      <alignment horizontal="left" vertical="center" wrapText="1" readingOrder="1"/>
      <protection hidden="1"/>
    </xf>
    <xf numFmtId="165" fontId="12" fillId="0" borderId="7" xfId="5" applyNumberFormat="1" applyBorder="1" applyAlignment="1" applyProtection="1">
      <alignment horizontal="left" vertical="center" wrapText="1" readingOrder="1"/>
      <protection hidden="1"/>
    </xf>
    <xf numFmtId="0" fontId="12" fillId="0" borderId="8" xfId="5" applyBorder="1" applyAlignment="1" applyProtection="1">
      <alignment horizontal="center" vertical="center" readingOrder="1"/>
      <protection hidden="1"/>
    </xf>
    <xf numFmtId="164" fontId="12" fillId="5" borderId="9" xfId="1" applyFont="1" applyFill="1" applyBorder="1" applyAlignment="1" applyProtection="1">
      <alignment horizontal="center" vertical="center" readingOrder="1"/>
      <protection locked="0"/>
    </xf>
    <xf numFmtId="164" fontId="12" fillId="0" borderId="7" xfId="1" applyFont="1" applyBorder="1" applyAlignment="1" applyProtection="1">
      <alignment horizontal="left" vertical="center" wrapText="1" readingOrder="1"/>
      <protection hidden="1"/>
    </xf>
    <xf numFmtId="167" fontId="12" fillId="0" borderId="0" xfId="2" applyNumberFormat="1" applyFont="1" applyBorder="1" applyAlignment="1" applyProtection="1">
      <alignment horizontal="center" vertical="center" wrapText="1" readingOrder="1"/>
      <protection hidden="1"/>
    </xf>
    <xf numFmtId="164" fontId="12" fillId="0" borderId="0" xfId="1" applyFont="1" applyBorder="1" applyAlignment="1" applyProtection="1">
      <alignment horizontal="left" vertical="center" wrapText="1" readingOrder="1"/>
      <protection hidden="1"/>
    </xf>
    <xf numFmtId="0" fontId="12" fillId="0" borderId="10" xfId="5" applyBorder="1" applyAlignment="1" applyProtection="1">
      <alignment horizontal="center" vertical="center" readingOrder="1"/>
      <protection hidden="1"/>
    </xf>
    <xf numFmtId="164" fontId="12" fillId="5" borderId="11" xfId="1" applyFont="1" applyFill="1" applyBorder="1" applyAlignment="1" applyProtection="1">
      <alignment horizontal="center" vertical="center" readingOrder="1"/>
      <protection locked="0"/>
    </xf>
    <xf numFmtId="0" fontId="24" fillId="0" borderId="0" xfId="5" applyFont="1" applyAlignment="1" applyProtection="1">
      <alignment horizontal="center" vertical="center" wrapText="1" readingOrder="1"/>
      <protection hidden="1"/>
    </xf>
    <xf numFmtId="0" fontId="12" fillId="0" borderId="12" xfId="5" applyBorder="1" applyAlignment="1" applyProtection="1">
      <alignment horizontal="center" vertical="center" readingOrder="1"/>
      <protection hidden="1"/>
    </xf>
    <xf numFmtId="0" fontId="12" fillId="0" borderId="14" xfId="5" applyBorder="1" applyAlignment="1" applyProtection="1">
      <alignment horizontal="left" vertical="center" wrapText="1" readingOrder="1"/>
      <protection hidden="1"/>
    </xf>
    <xf numFmtId="165" fontId="12" fillId="0" borderId="8" xfId="5" applyNumberFormat="1" applyBorder="1" applyAlignment="1" applyProtection="1">
      <alignment horizontal="left" vertical="center" wrapText="1" readingOrder="1"/>
      <protection hidden="1"/>
    </xf>
    <xf numFmtId="164" fontId="12" fillId="5" borderId="8" xfId="1" applyFont="1" applyFill="1" applyBorder="1" applyAlignment="1" applyProtection="1">
      <alignment horizontal="center" vertical="center" readingOrder="1"/>
      <protection locked="0"/>
    </xf>
    <xf numFmtId="164" fontId="12" fillId="0" borderId="8" xfId="1" applyFont="1" applyBorder="1" applyAlignment="1" applyProtection="1">
      <alignment horizontal="left" vertical="center" wrapText="1" readingOrder="1"/>
      <protection hidden="1"/>
    </xf>
    <xf numFmtId="164" fontId="12" fillId="0" borderId="15" xfId="1" applyFont="1" applyBorder="1" applyAlignment="1" applyProtection="1">
      <alignment horizontal="left" vertical="center" wrapText="1" readingOrder="1"/>
      <protection hidden="1"/>
    </xf>
    <xf numFmtId="164" fontId="12" fillId="0" borderId="16" xfId="1" applyFont="1" applyBorder="1" applyAlignment="1" applyProtection="1">
      <alignment horizontal="left" vertical="center" wrapText="1" readingOrder="1"/>
      <protection hidden="1"/>
    </xf>
    <xf numFmtId="0" fontId="12" fillId="0" borderId="17" xfId="5" applyBorder="1" applyAlignment="1" applyProtection="1">
      <alignment horizontal="left" vertical="center" wrapText="1" readingOrder="1"/>
      <protection hidden="1"/>
    </xf>
    <xf numFmtId="165" fontId="12" fillId="0" borderId="16" xfId="5" applyNumberFormat="1" applyBorder="1" applyAlignment="1" applyProtection="1">
      <alignment horizontal="left" vertical="center" wrapText="1" readingOrder="1"/>
      <protection hidden="1"/>
    </xf>
    <xf numFmtId="0" fontId="12" fillId="0" borderId="16" xfId="5" applyBorder="1" applyAlignment="1" applyProtection="1">
      <alignment horizontal="center" vertical="center" readingOrder="1"/>
      <protection hidden="1"/>
    </xf>
    <xf numFmtId="164" fontId="12" fillId="5" borderId="16" xfId="1" applyFont="1" applyFill="1" applyBorder="1" applyAlignment="1" applyProtection="1">
      <alignment horizontal="center" vertical="center" readingOrder="1"/>
      <protection locked="0"/>
    </xf>
    <xf numFmtId="164" fontId="12" fillId="0" borderId="18" xfId="1" applyFont="1" applyBorder="1" applyAlignment="1" applyProtection="1">
      <alignment horizontal="left" vertical="center" wrapText="1" readingOrder="1"/>
      <protection hidden="1"/>
    </xf>
    <xf numFmtId="0" fontId="12" fillId="0" borderId="21" xfId="5" applyBorder="1" applyAlignment="1" applyProtection="1">
      <alignment horizontal="left" vertical="center" wrapText="1" readingOrder="1"/>
      <protection hidden="1"/>
    </xf>
    <xf numFmtId="165" fontId="12" fillId="0" borderId="0" xfId="5" applyNumberFormat="1" applyAlignment="1" applyProtection="1">
      <alignment horizontal="left" vertical="center" wrapText="1" readingOrder="1"/>
      <protection hidden="1"/>
    </xf>
    <xf numFmtId="164" fontId="12" fillId="5" borderId="0" xfId="1" applyFont="1" applyFill="1" applyBorder="1" applyAlignment="1" applyProtection="1">
      <alignment horizontal="center" vertical="center" readingOrder="1"/>
      <protection locked="0"/>
    </xf>
    <xf numFmtId="0" fontId="12" fillId="0" borderId="0" xfId="5" applyAlignment="1" applyProtection="1">
      <alignment horizontal="center" vertical="center" wrapText="1" readingOrder="1"/>
      <protection hidden="1"/>
    </xf>
    <xf numFmtId="0" fontId="12" fillId="5" borderId="9" xfId="5" applyFill="1" applyBorder="1" applyAlignment="1" applyProtection="1">
      <alignment horizontal="center" vertical="center" readingOrder="1"/>
      <protection locked="0"/>
    </xf>
    <xf numFmtId="0" fontId="12" fillId="0" borderId="22" xfId="5" applyBorder="1" applyAlignment="1" applyProtection="1">
      <alignment horizontal="left" vertical="center" wrapText="1" readingOrder="1"/>
      <protection hidden="1"/>
    </xf>
    <xf numFmtId="165" fontId="12" fillId="0" borderId="21" xfId="5" applyNumberFormat="1" applyBorder="1" applyAlignment="1" applyProtection="1">
      <alignment horizontal="left" vertical="center" wrapText="1" readingOrder="1"/>
      <protection hidden="1"/>
    </xf>
    <xf numFmtId="165" fontId="12" fillId="0" borderId="23" xfId="5" applyNumberFormat="1" applyBorder="1" applyAlignment="1" applyProtection="1">
      <alignment horizontal="left" vertical="center" wrapText="1" readingOrder="1"/>
      <protection hidden="1"/>
    </xf>
    <xf numFmtId="2" fontId="12" fillId="5" borderId="9" xfId="5" applyNumberFormat="1" applyFill="1" applyBorder="1" applyAlignment="1" applyProtection="1">
      <alignment horizontal="center" vertical="center" readingOrder="1"/>
      <protection locked="0"/>
    </xf>
    <xf numFmtId="164" fontId="12" fillId="0" borderId="22" xfId="1" applyFont="1" applyBorder="1" applyAlignment="1" applyProtection="1">
      <alignment horizontal="left" vertical="center" wrapText="1" readingOrder="1"/>
      <protection hidden="1"/>
    </xf>
    <xf numFmtId="165" fontId="12" fillId="0" borderId="14" xfId="5" applyNumberFormat="1" applyBorder="1" applyAlignment="1" applyProtection="1">
      <alignment horizontal="left" vertical="center" wrapText="1" readingOrder="1"/>
      <protection hidden="1"/>
    </xf>
    <xf numFmtId="164" fontId="12" fillId="0" borderId="21" xfId="1" applyFont="1" applyBorder="1" applyAlignment="1" applyProtection="1">
      <alignment horizontal="left" vertical="center" wrapText="1" readingOrder="1"/>
      <protection hidden="1"/>
    </xf>
    <xf numFmtId="165" fontId="12" fillId="0" borderId="17" xfId="5" applyNumberFormat="1" applyBorder="1" applyAlignment="1" applyProtection="1">
      <alignment horizontal="left" vertical="center" wrapText="1" readingOrder="1"/>
      <protection hidden="1"/>
    </xf>
    <xf numFmtId="0" fontId="12" fillId="0" borderId="0" xfId="8" applyFont="1" applyAlignment="1" applyProtection="1">
      <alignment horizontal="center" vertical="center" wrapText="1" readingOrder="1"/>
      <protection hidden="1"/>
    </xf>
    <xf numFmtId="0" fontId="25" fillId="0" borderId="0" xfId="5" applyFont="1" applyAlignment="1" applyProtection="1">
      <alignment horizontal="center" vertical="center" wrapText="1" readingOrder="1"/>
      <protection hidden="1"/>
    </xf>
    <xf numFmtId="164" fontId="26" fillId="0" borderId="12" xfId="0" applyNumberFormat="1" applyFont="1" applyBorder="1" applyAlignment="1">
      <alignment vertical="center"/>
    </xf>
    <xf numFmtId="164" fontId="12" fillId="0" borderId="9" xfId="1" applyFont="1" applyBorder="1" applyAlignment="1" applyProtection="1">
      <alignment horizontal="left" vertical="center" wrapText="1" readingOrder="1"/>
      <protection hidden="1"/>
    </xf>
    <xf numFmtId="0" fontId="27" fillId="9" borderId="0" xfId="5" applyFont="1" applyFill="1" applyAlignment="1" applyProtection="1">
      <alignment horizontal="center" vertical="center" wrapText="1" readingOrder="1"/>
      <protection hidden="1"/>
    </xf>
    <xf numFmtId="0" fontId="27" fillId="0" borderId="0" xfId="5" applyFont="1" applyAlignment="1" applyProtection="1">
      <alignment horizontal="center" vertical="center" wrapText="1" readingOrder="1"/>
      <protection hidden="1"/>
    </xf>
    <xf numFmtId="0" fontId="27" fillId="9" borderId="0" xfId="8" applyFont="1" applyFill="1" applyAlignment="1" applyProtection="1">
      <alignment horizontal="center" vertical="center" wrapText="1" readingOrder="1"/>
      <protection hidden="1"/>
    </xf>
    <xf numFmtId="0" fontId="27" fillId="0" borderId="0" xfId="8" applyFont="1" applyAlignment="1" applyProtection="1">
      <alignment horizontal="center" vertical="center" wrapText="1" readingOrder="1"/>
      <protection hidden="1"/>
    </xf>
    <xf numFmtId="0" fontId="12" fillId="0" borderId="8" xfId="6" applyBorder="1" applyAlignment="1" applyProtection="1">
      <alignment horizontal="center" vertical="center" readingOrder="1"/>
      <protection hidden="1"/>
    </xf>
    <xf numFmtId="0" fontId="12" fillId="0" borderId="9" xfId="5" applyBorder="1" applyAlignment="1" applyProtection="1">
      <alignment horizontal="center" vertical="center" readingOrder="1"/>
      <protection locked="0"/>
    </xf>
    <xf numFmtId="0" fontId="12" fillId="10" borderId="7" xfId="5" applyFill="1" applyBorder="1" applyAlignment="1" applyProtection="1">
      <alignment horizontal="left" vertical="center" wrapText="1" readingOrder="1"/>
      <protection hidden="1"/>
    </xf>
    <xf numFmtId="165" fontId="12" fillId="10" borderId="7" xfId="5" applyNumberFormat="1" applyFill="1" applyBorder="1" applyAlignment="1" applyProtection="1">
      <alignment horizontal="left" vertical="center" wrapText="1" readingOrder="1"/>
      <protection hidden="1"/>
    </xf>
    <xf numFmtId="0" fontId="12" fillId="10" borderId="8" xfId="6" applyFill="1" applyBorder="1" applyAlignment="1" applyProtection="1">
      <alignment horizontal="center" vertical="center" readingOrder="1"/>
      <protection hidden="1"/>
    </xf>
    <xf numFmtId="164" fontId="12" fillId="10" borderId="7" xfId="1" applyFont="1" applyFill="1" applyBorder="1" applyAlignment="1" applyProtection="1">
      <alignment horizontal="left" vertical="center" wrapText="1" readingOrder="1"/>
      <protection hidden="1"/>
    </xf>
    <xf numFmtId="0" fontId="29" fillId="8" borderId="0" xfId="5" applyFont="1" applyFill="1" applyAlignment="1" applyProtection="1">
      <alignment horizontal="center" vertical="center" wrapText="1" readingOrder="1"/>
      <protection hidden="1"/>
    </xf>
    <xf numFmtId="0" fontId="12" fillId="5" borderId="11" xfId="5" applyFill="1" applyBorder="1" applyAlignment="1" applyProtection="1">
      <alignment horizontal="center" vertical="center" readingOrder="1"/>
      <protection locked="0"/>
    </xf>
    <xf numFmtId="0" fontId="12" fillId="10" borderId="12" xfId="5" applyFill="1" applyBorder="1" applyAlignment="1" applyProtection="1">
      <alignment horizontal="center" vertical="center" readingOrder="1"/>
      <protection hidden="1"/>
    </xf>
    <xf numFmtId="164" fontId="26" fillId="10" borderId="12" xfId="0" applyNumberFormat="1" applyFont="1" applyFill="1" applyBorder="1" applyAlignment="1">
      <alignment vertical="center"/>
    </xf>
    <xf numFmtId="165" fontId="12" fillId="0" borderId="26" xfId="5" applyNumberFormat="1" applyBorder="1" applyAlignment="1" applyProtection="1">
      <alignment horizontal="center" vertical="center" readingOrder="1"/>
      <protection hidden="1"/>
    </xf>
    <xf numFmtId="0" fontId="12" fillId="0" borderId="26" xfId="5" applyBorder="1" applyAlignment="1" applyProtection="1">
      <alignment horizontal="center" vertical="center" readingOrder="1"/>
      <protection hidden="1"/>
    </xf>
    <xf numFmtId="0" fontId="12" fillId="0" borderId="11" xfId="5" applyBorder="1" applyAlignment="1" applyProtection="1">
      <alignment horizontal="center" vertical="center" readingOrder="1"/>
      <protection hidden="1"/>
    </xf>
    <xf numFmtId="164" fontId="12" fillId="0" borderId="7" xfId="1" applyFont="1" applyBorder="1" applyAlignment="1" applyProtection="1">
      <alignment horizontal="center" vertical="center" wrapText="1" readingOrder="1"/>
      <protection hidden="1"/>
    </xf>
    <xf numFmtId="164" fontId="12" fillId="0" borderId="0" xfId="1" applyFont="1" applyBorder="1" applyAlignment="1" applyProtection="1">
      <alignment horizontal="center" vertical="center" wrapText="1" readingOrder="1"/>
      <protection hidden="1"/>
    </xf>
    <xf numFmtId="165" fontId="12" fillId="0" borderId="10" xfId="5" applyNumberFormat="1" applyBorder="1" applyAlignment="1" applyProtection="1">
      <alignment horizontal="center" vertical="center" readingOrder="1"/>
      <protection hidden="1"/>
    </xf>
    <xf numFmtId="0" fontId="12" fillId="0" borderId="27" xfId="5" applyBorder="1" applyAlignment="1" applyProtection="1">
      <alignment horizontal="center" vertical="center" readingOrder="1"/>
      <protection hidden="1"/>
    </xf>
    <xf numFmtId="0" fontId="12" fillId="0" borderId="18" xfId="5" applyBorder="1" applyAlignment="1" applyProtection="1">
      <alignment horizontal="center" vertical="center" readingOrder="1"/>
      <protection hidden="1"/>
    </xf>
    <xf numFmtId="0" fontId="30" fillId="0" borderId="0" xfId="5" applyFont="1" applyAlignment="1" applyProtection="1">
      <alignment horizontal="center" vertical="center" wrapText="1" readingOrder="1"/>
      <protection hidden="1"/>
    </xf>
    <xf numFmtId="2" fontId="12" fillId="0" borderId="8" xfId="5" applyNumberFormat="1" applyBorder="1" applyAlignment="1" applyProtection="1">
      <alignment horizontal="center" vertical="center" readingOrder="1"/>
      <protection hidden="1"/>
    </xf>
    <xf numFmtId="164" fontId="12" fillId="5" borderId="9" xfId="1" applyFont="1" applyFill="1" applyBorder="1" applyAlignment="1" applyProtection="1">
      <alignment horizontal="center" vertical="center" wrapText="1" readingOrder="1"/>
      <protection locked="0"/>
    </xf>
    <xf numFmtId="2" fontId="12" fillId="0" borderId="28" xfId="5" applyNumberFormat="1" applyBorder="1" applyAlignment="1" applyProtection="1">
      <alignment horizontal="center" vertical="center" readingOrder="1"/>
      <protection hidden="1"/>
    </xf>
    <xf numFmtId="164" fontId="12" fillId="5" borderId="15" xfId="1" applyFont="1" applyFill="1" applyBorder="1" applyAlignment="1" applyProtection="1">
      <alignment horizontal="center" vertical="center" wrapText="1" readingOrder="1"/>
      <protection locked="0"/>
    </xf>
    <xf numFmtId="2" fontId="12" fillId="0" borderId="10" xfId="5" applyNumberFormat="1" applyBorder="1" applyAlignment="1" applyProtection="1">
      <alignment horizontal="center" vertical="center" readingOrder="1"/>
      <protection hidden="1"/>
    </xf>
    <xf numFmtId="164" fontId="12" fillId="5" borderId="11" xfId="1" applyFont="1" applyFill="1" applyBorder="1" applyAlignment="1" applyProtection="1">
      <alignment horizontal="center" vertical="center" wrapText="1" readingOrder="1"/>
      <protection locked="0"/>
    </xf>
    <xf numFmtId="164" fontId="12" fillId="0" borderId="9" xfId="1" applyFont="1" applyBorder="1" applyAlignment="1" applyProtection="1">
      <alignment horizontal="center" vertical="center" readingOrder="1"/>
      <protection locked="0"/>
    </xf>
    <xf numFmtId="164" fontId="12" fillId="0" borderId="11" xfId="1" applyFont="1" applyBorder="1" applyAlignment="1" applyProtection="1">
      <alignment horizontal="center" vertical="center" readingOrder="1"/>
      <protection locked="0"/>
    </xf>
    <xf numFmtId="0" fontId="12" fillId="0" borderId="12" xfId="7" applyFont="1" applyBorder="1" applyAlignment="1" applyProtection="1">
      <alignment horizontal="center" vertical="center" readingOrder="1"/>
      <protection hidden="1"/>
    </xf>
    <xf numFmtId="0" fontId="12" fillId="0" borderId="8" xfId="7" applyFont="1" applyBorder="1" applyAlignment="1" applyProtection="1">
      <alignment horizontal="center" vertical="center" readingOrder="1"/>
      <protection hidden="1"/>
    </xf>
    <xf numFmtId="164" fontId="12" fillId="5" borderId="15" xfId="1" applyFont="1" applyFill="1" applyBorder="1" applyAlignment="1" applyProtection="1">
      <alignment horizontal="center" vertical="center" readingOrder="1"/>
      <protection locked="0"/>
    </xf>
    <xf numFmtId="0" fontId="27" fillId="9" borderId="0" xfId="5" applyFont="1" applyFill="1" applyAlignment="1" applyProtection="1">
      <alignment horizontal="center" vertical="center" readingOrder="1"/>
      <protection hidden="1"/>
    </xf>
    <xf numFmtId="0" fontId="12" fillId="5" borderId="29" xfId="5" applyFill="1" applyBorder="1" applyAlignment="1" applyProtection="1">
      <alignment horizontal="center" vertical="center" readingOrder="1"/>
      <protection locked="0"/>
    </xf>
    <xf numFmtId="0" fontId="12" fillId="0" borderId="0" xfId="8" applyFont="1" applyAlignment="1" applyProtection="1">
      <alignment horizontal="center" wrapText="1" readingOrder="1"/>
      <protection hidden="1"/>
    </xf>
    <xf numFmtId="0" fontId="12" fillId="0" borderId="12" xfId="6" applyBorder="1" applyAlignment="1" applyProtection="1">
      <alignment horizontal="center" vertical="center" readingOrder="1"/>
      <protection hidden="1"/>
    </xf>
    <xf numFmtId="0" fontId="12" fillId="5" borderId="15" xfId="5" applyFill="1" applyBorder="1" applyAlignment="1" applyProtection="1">
      <alignment horizontal="center" vertical="center" readingOrder="1"/>
      <protection locked="0"/>
    </xf>
    <xf numFmtId="0" fontId="12" fillId="0" borderId="10" xfId="6" applyBorder="1" applyAlignment="1" applyProtection="1">
      <alignment horizontal="center" vertical="center" readingOrder="1"/>
      <protection hidden="1"/>
    </xf>
    <xf numFmtId="0" fontId="12" fillId="0" borderId="12" xfId="6" applyBorder="1" applyAlignment="1" applyProtection="1">
      <alignment horizontal="center" vertical="center" wrapText="1" readingOrder="1"/>
      <protection hidden="1"/>
    </xf>
    <xf numFmtId="0" fontId="12" fillId="5" borderId="9" xfId="5" applyFill="1" applyBorder="1" applyAlignment="1" applyProtection="1">
      <alignment horizontal="center" wrapText="1" readingOrder="1"/>
      <protection locked="0"/>
    </xf>
    <xf numFmtId="0" fontId="12" fillId="0" borderId="8" xfId="6" applyBorder="1" applyAlignment="1" applyProtection="1">
      <alignment horizontal="center" vertical="center" wrapText="1" readingOrder="1"/>
      <protection hidden="1"/>
    </xf>
    <xf numFmtId="0" fontId="12" fillId="0" borderId="30" xfId="5" applyBorder="1" applyAlignment="1" applyProtection="1">
      <alignment horizontal="left" vertical="center" wrapText="1" readingOrder="1"/>
      <protection hidden="1"/>
    </xf>
    <xf numFmtId="165" fontId="12" fillId="0" borderId="31" xfId="5" applyNumberFormat="1" applyBorder="1" applyAlignment="1" applyProtection="1">
      <alignment horizontal="center" vertical="center" readingOrder="1"/>
      <protection hidden="1"/>
    </xf>
    <xf numFmtId="0" fontId="12" fillId="0" borderId="31" xfId="5" applyBorder="1" applyAlignment="1" applyProtection="1">
      <alignment horizontal="center" vertical="center" readingOrder="1"/>
      <protection hidden="1"/>
    </xf>
    <xf numFmtId="0" fontId="12" fillId="5" borderId="32" xfId="5" applyFill="1" applyBorder="1" applyAlignment="1" applyProtection="1">
      <alignment horizontal="center" vertical="center" readingOrder="1"/>
      <protection locked="0"/>
    </xf>
    <xf numFmtId="168" fontId="12" fillId="0" borderId="32" xfId="3" applyNumberFormat="1" applyFont="1" applyBorder="1" applyAlignment="1" applyProtection="1">
      <alignment horizontal="left" vertical="center" readingOrder="1"/>
      <protection hidden="1"/>
    </xf>
    <xf numFmtId="0" fontId="12" fillId="0" borderId="33" xfId="5" applyBorder="1" applyAlignment="1" applyProtection="1">
      <alignment horizontal="left" vertical="center" wrapText="1" readingOrder="1"/>
      <protection hidden="1"/>
    </xf>
    <xf numFmtId="165" fontId="12" fillId="0" borderId="34" xfId="5" applyNumberFormat="1" applyBorder="1" applyAlignment="1" applyProtection="1">
      <alignment horizontal="center" vertical="center" readingOrder="1"/>
      <protection hidden="1"/>
    </xf>
    <xf numFmtId="0" fontId="12" fillId="0" borderId="34" xfId="5" applyBorder="1" applyAlignment="1" applyProtection="1">
      <alignment horizontal="center" vertical="center" readingOrder="1"/>
      <protection hidden="1"/>
    </xf>
    <xf numFmtId="0" fontId="12" fillId="5" borderId="35" xfId="5" applyFill="1" applyBorder="1" applyAlignment="1" applyProtection="1">
      <alignment horizontal="center" vertical="center" readingOrder="1"/>
      <protection locked="0"/>
    </xf>
    <xf numFmtId="169" fontId="12" fillId="0" borderId="35" xfId="3" applyNumberFormat="1" applyFont="1" applyBorder="1" applyAlignment="1" applyProtection="1">
      <alignment horizontal="left" vertical="center" readingOrder="1"/>
      <protection hidden="1"/>
    </xf>
    <xf numFmtId="0" fontId="31" fillId="0" borderId="0" xfId="0" applyFont="1"/>
    <xf numFmtId="0" fontId="12" fillId="10" borderId="8" xfId="5" applyFill="1" applyBorder="1" applyAlignment="1" applyProtection="1">
      <alignment horizontal="left" vertical="center" wrapText="1" readingOrder="1"/>
      <protection hidden="1"/>
    </xf>
    <xf numFmtId="165" fontId="12" fillId="10" borderId="8" xfId="5" applyNumberFormat="1" applyFill="1" applyBorder="1" applyAlignment="1" applyProtection="1">
      <alignment horizontal="left" vertical="center" wrapText="1" readingOrder="1"/>
      <protection hidden="1"/>
    </xf>
    <xf numFmtId="0" fontId="12" fillId="10" borderId="8" xfId="6" applyFill="1" applyBorder="1" applyAlignment="1" applyProtection="1">
      <alignment horizontal="center" vertical="center" wrapText="1" readingOrder="1"/>
      <protection hidden="1"/>
    </xf>
    <xf numFmtId="0" fontId="12" fillId="5" borderId="8" xfId="5" applyFill="1" applyBorder="1" applyAlignment="1" applyProtection="1">
      <alignment horizontal="center" wrapText="1" readingOrder="1"/>
      <protection locked="0"/>
    </xf>
    <xf numFmtId="164" fontId="12" fillId="10" borderId="8" xfId="1" applyFont="1" applyFill="1" applyBorder="1" applyAlignment="1" applyProtection="1">
      <alignment horizontal="left" vertical="center" wrapText="1" readingOrder="1"/>
      <protection hidden="1"/>
    </xf>
    <xf numFmtId="0" fontId="32" fillId="0" borderId="14" xfId="5" applyFont="1" applyBorder="1" applyAlignment="1" applyProtection="1">
      <alignment horizontal="left" vertical="center" wrapText="1" readingOrder="1"/>
      <protection hidden="1"/>
    </xf>
    <xf numFmtId="164" fontId="12" fillId="10" borderId="16" xfId="1" applyFont="1" applyFill="1" applyBorder="1" applyAlignment="1" applyProtection="1">
      <alignment horizontal="left" vertical="center" wrapText="1" readingOrder="1"/>
      <protection hidden="1"/>
    </xf>
    <xf numFmtId="0" fontId="32" fillId="0" borderId="17" xfId="5" applyFont="1" applyBorder="1" applyAlignment="1" applyProtection="1">
      <alignment horizontal="left" vertical="center" wrapText="1" readingOrder="1"/>
      <protection hidden="1"/>
    </xf>
    <xf numFmtId="170" fontId="0" fillId="0" borderId="0" xfId="0" applyNumberFormat="1"/>
    <xf numFmtId="0" fontId="0" fillId="11" borderId="0" xfId="0" applyFill="1"/>
    <xf numFmtId="0" fontId="21" fillId="0" borderId="0" xfId="0" applyFont="1" applyAlignment="1">
      <alignment horizontal="center"/>
    </xf>
    <xf numFmtId="0" fontId="0" fillId="12" borderId="0" xfId="0" applyFill="1"/>
    <xf numFmtId="0" fontId="12" fillId="11" borderId="7" xfId="5" applyFill="1" applyBorder="1" applyAlignment="1" applyProtection="1">
      <alignment horizontal="left" vertical="center" wrapText="1" readingOrder="1"/>
      <protection hidden="1"/>
    </xf>
    <xf numFmtId="165" fontId="12" fillId="11" borderId="7" xfId="5" applyNumberFormat="1" applyFill="1" applyBorder="1" applyAlignment="1" applyProtection="1">
      <alignment horizontal="left" vertical="center" wrapText="1" readingOrder="1"/>
      <protection hidden="1"/>
    </xf>
    <xf numFmtId="0" fontId="12" fillId="11" borderId="12" xfId="5" applyFill="1" applyBorder="1" applyAlignment="1" applyProtection="1">
      <alignment horizontal="center" vertical="center" readingOrder="1"/>
      <protection hidden="1"/>
    </xf>
    <xf numFmtId="164" fontId="12" fillId="11" borderId="9" xfId="1" applyFont="1" applyFill="1" applyBorder="1" applyAlignment="1" applyProtection="1">
      <alignment horizontal="center" vertical="center" readingOrder="1"/>
      <protection locked="0"/>
    </xf>
    <xf numFmtId="164" fontId="12" fillId="11" borderId="7" xfId="1" applyFont="1" applyFill="1" applyBorder="1" applyAlignment="1" applyProtection="1">
      <alignment horizontal="left" vertical="center" wrapText="1" readingOrder="1"/>
      <protection hidden="1"/>
    </xf>
    <xf numFmtId="164" fontId="12" fillId="11" borderId="0" xfId="1" applyFont="1" applyFill="1" applyBorder="1" applyAlignment="1" applyProtection="1">
      <alignment horizontal="left" vertical="center" wrapText="1" readingOrder="1"/>
      <protection hidden="1"/>
    </xf>
    <xf numFmtId="0" fontId="12" fillId="11" borderId="8" xfId="5" applyFill="1" applyBorder="1" applyAlignment="1" applyProtection="1">
      <alignment horizontal="center" vertical="center" readingOrder="1"/>
      <protection hidden="1"/>
    </xf>
    <xf numFmtId="0" fontId="12" fillId="11" borderId="10" xfId="5" applyFill="1" applyBorder="1" applyAlignment="1" applyProtection="1">
      <alignment horizontal="center" vertical="center" readingOrder="1"/>
      <protection hidden="1"/>
    </xf>
    <xf numFmtId="164" fontId="12" fillId="11" borderId="11" xfId="1" applyFont="1" applyFill="1" applyBorder="1" applyAlignment="1" applyProtection="1">
      <alignment horizontal="center" vertical="center" readingOrder="1"/>
      <protection locked="0"/>
    </xf>
    <xf numFmtId="0" fontId="12" fillId="11" borderId="30" xfId="5" applyFill="1" applyBorder="1" applyAlignment="1" applyProtection="1">
      <alignment horizontal="left" vertical="center" wrapText="1" readingOrder="1"/>
      <protection hidden="1"/>
    </xf>
    <xf numFmtId="165" fontId="12" fillId="11" borderId="31" xfId="5" applyNumberFormat="1" applyFill="1" applyBorder="1" applyAlignment="1" applyProtection="1">
      <alignment horizontal="left" vertical="center" wrapText="1" readingOrder="1"/>
      <protection hidden="1"/>
    </xf>
    <xf numFmtId="0" fontId="12" fillId="11" borderId="31" xfId="5" applyFill="1" applyBorder="1" applyAlignment="1" applyProtection="1">
      <alignment horizontal="center" vertical="center" readingOrder="1"/>
      <protection hidden="1"/>
    </xf>
    <xf numFmtId="164" fontId="12" fillId="11" borderId="31" xfId="1" applyFont="1" applyFill="1" applyBorder="1" applyAlignment="1" applyProtection="1">
      <alignment horizontal="center" vertical="center" readingOrder="1"/>
      <protection locked="0"/>
    </xf>
    <xf numFmtId="164" fontId="12" fillId="11" borderId="31" xfId="1" applyFont="1" applyFill="1" applyBorder="1" applyAlignment="1" applyProtection="1">
      <alignment horizontal="left" vertical="center" wrapText="1" readingOrder="1"/>
      <protection hidden="1"/>
    </xf>
    <xf numFmtId="164" fontId="12" fillId="11" borderId="29" xfId="1" applyFont="1" applyFill="1" applyBorder="1" applyAlignment="1" applyProtection="1">
      <alignment horizontal="left" vertical="center" wrapText="1" readingOrder="1"/>
      <protection hidden="1"/>
    </xf>
    <xf numFmtId="0" fontId="12" fillId="11" borderId="14" xfId="5" applyFill="1" applyBorder="1" applyAlignment="1" applyProtection="1">
      <alignment horizontal="left" vertical="center" wrapText="1" readingOrder="1"/>
      <protection hidden="1"/>
    </xf>
    <xf numFmtId="165" fontId="12" fillId="11" borderId="8" xfId="5" applyNumberFormat="1" applyFill="1" applyBorder="1" applyAlignment="1" applyProtection="1">
      <alignment horizontal="left" vertical="center" wrapText="1" readingOrder="1"/>
      <protection hidden="1"/>
    </xf>
    <xf numFmtId="164" fontId="12" fillId="11" borderId="8" xfId="1" applyFont="1" applyFill="1" applyBorder="1" applyAlignment="1" applyProtection="1">
      <alignment horizontal="center" vertical="center" readingOrder="1"/>
      <protection locked="0"/>
    </xf>
    <xf numFmtId="164" fontId="12" fillId="11" borderId="8" xfId="1" applyFont="1" applyFill="1" applyBorder="1" applyAlignment="1" applyProtection="1">
      <alignment horizontal="left" vertical="center" wrapText="1" readingOrder="1"/>
      <protection hidden="1"/>
    </xf>
    <xf numFmtId="164" fontId="12" fillId="11" borderId="15" xfId="1" applyFont="1" applyFill="1" applyBorder="1" applyAlignment="1" applyProtection="1">
      <alignment horizontal="left" vertical="center" wrapText="1" readingOrder="1"/>
      <protection hidden="1"/>
    </xf>
    <xf numFmtId="164" fontId="12" fillId="11" borderId="31" xfId="1" applyFont="1" applyFill="1" applyBorder="1" applyAlignment="1" applyProtection="1">
      <alignment horizontal="center" readingOrder="1"/>
      <protection locked="0"/>
    </xf>
    <xf numFmtId="0" fontId="32" fillId="0" borderId="21" xfId="5" applyFont="1" applyBorder="1" applyAlignment="1" applyProtection="1">
      <alignment horizontal="left" vertical="center" wrapText="1" readingOrder="1"/>
      <protection hidden="1"/>
    </xf>
    <xf numFmtId="164" fontId="0" fillId="0" borderId="0" xfId="0" applyNumberFormat="1"/>
    <xf numFmtId="0" fontId="12" fillId="11" borderId="16" xfId="5" applyFill="1" applyBorder="1" applyAlignment="1" applyProtection="1">
      <alignment horizontal="center" vertical="center" readingOrder="1"/>
      <protection hidden="1"/>
    </xf>
    <xf numFmtId="0" fontId="12" fillId="11" borderId="8" xfId="6" applyFill="1" applyBorder="1" applyAlignment="1" applyProtection="1">
      <alignment horizontal="center" vertical="center" readingOrder="1"/>
      <protection hidden="1"/>
    </xf>
    <xf numFmtId="2" fontId="12" fillId="11" borderId="8" xfId="5" applyNumberFormat="1" applyFill="1" applyBorder="1" applyAlignment="1" applyProtection="1">
      <alignment horizontal="center" vertical="center" readingOrder="1"/>
      <protection hidden="1"/>
    </xf>
    <xf numFmtId="164" fontId="12" fillId="11" borderId="9" xfId="1" applyFont="1" applyFill="1" applyBorder="1" applyAlignment="1" applyProtection="1">
      <alignment horizontal="center" vertical="center" wrapText="1" readingOrder="1"/>
      <protection locked="0"/>
    </xf>
    <xf numFmtId="2" fontId="12" fillId="11" borderId="28" xfId="5" applyNumberFormat="1" applyFill="1" applyBorder="1" applyAlignment="1" applyProtection="1">
      <alignment horizontal="center" vertical="center" readingOrder="1"/>
      <protection hidden="1"/>
    </xf>
    <xf numFmtId="0" fontId="32" fillId="11" borderId="7" xfId="5" applyFont="1" applyFill="1" applyBorder="1" applyAlignment="1" applyProtection="1">
      <alignment horizontal="left" vertical="center" wrapText="1" readingOrder="1"/>
      <protection hidden="1"/>
    </xf>
    <xf numFmtId="0" fontId="32" fillId="0" borderId="7" xfId="5" applyFont="1" applyBorder="1" applyAlignment="1" applyProtection="1">
      <alignment horizontal="left" vertical="center" wrapText="1" readingOrder="1"/>
      <protection hidden="1"/>
    </xf>
    <xf numFmtId="0" fontId="12" fillId="11" borderId="12" xfId="6" applyFill="1" applyBorder="1" applyAlignment="1" applyProtection="1">
      <alignment horizontal="center" vertical="center" readingOrder="1"/>
      <protection hidden="1"/>
    </xf>
    <xf numFmtId="0" fontId="12" fillId="11" borderId="9" xfId="5" applyFill="1" applyBorder="1" applyAlignment="1" applyProtection="1">
      <alignment horizontal="center" vertical="center" readingOrder="1"/>
      <protection locked="0"/>
    </xf>
    <xf numFmtId="0" fontId="12" fillId="0" borderId="26" xfId="6" applyBorder="1" applyAlignment="1" applyProtection="1">
      <alignment horizontal="center" vertical="center" readingOrder="1"/>
      <protection hidden="1"/>
    </xf>
    <xf numFmtId="166" fontId="12" fillId="0" borderId="0" xfId="3" applyNumberFormat="1" applyFont="1" applyBorder="1" applyAlignment="1" applyProtection="1">
      <alignment horizontal="left" vertical="center" readingOrder="1"/>
      <protection hidden="1"/>
    </xf>
    <xf numFmtId="166" fontId="12" fillId="0" borderId="36" xfId="3" applyNumberFormat="1" applyFont="1" applyBorder="1" applyAlignment="1" applyProtection="1">
      <alignment horizontal="left" vertical="center" readingOrder="1"/>
      <protection hidden="1"/>
    </xf>
    <xf numFmtId="166" fontId="12" fillId="0" borderId="37" xfId="3" applyNumberFormat="1" applyFont="1" applyBorder="1" applyAlignment="1" applyProtection="1">
      <alignment horizontal="left" vertical="center" readingOrder="1"/>
      <protection hidden="1"/>
    </xf>
    <xf numFmtId="0" fontId="33" fillId="0" borderId="0" xfId="0" applyFont="1"/>
    <xf numFmtId="0" fontId="34" fillId="0" borderId="0" xfId="0" applyFont="1"/>
    <xf numFmtId="9" fontId="36" fillId="0" borderId="0" xfId="2" applyBorder="1" applyProtection="1"/>
    <xf numFmtId="0" fontId="35" fillId="6" borderId="0" xfId="0" applyFont="1" applyFill="1"/>
    <xf numFmtId="0" fontId="35" fillId="0" borderId="0" xfId="0" applyFont="1"/>
    <xf numFmtId="164" fontId="36" fillId="0" borderId="0" xfId="1" applyBorder="1" applyProtection="1"/>
    <xf numFmtId="0" fontId="37" fillId="0" borderId="38" xfId="9" applyFont="1" applyBorder="1" applyAlignment="1">
      <alignment horizontal="center" vertical="center" wrapText="1"/>
    </xf>
    <xf numFmtId="0" fontId="37" fillId="0" borderId="38" xfId="9" applyFont="1" applyBorder="1" applyAlignment="1">
      <alignment horizontal="left" vertical="center" wrapText="1"/>
    </xf>
    <xf numFmtId="0" fontId="10" fillId="0" borderId="0" xfId="9"/>
    <xf numFmtId="0" fontId="38" fillId="0" borderId="38" xfId="9" applyFont="1" applyBorder="1" applyAlignment="1">
      <alignment horizontal="left" vertical="center"/>
    </xf>
    <xf numFmtId="0" fontId="38" fillId="13" borderId="38" xfId="9" applyFont="1" applyFill="1" applyBorder="1" applyAlignment="1">
      <alignment horizontal="left" vertical="center"/>
    </xf>
    <xf numFmtId="0" fontId="38" fillId="0" borderId="38" xfId="9" applyFont="1" applyBorder="1" applyAlignment="1">
      <alignment horizontal="right" vertical="center"/>
    </xf>
    <xf numFmtId="0" fontId="39" fillId="0" borderId="38" xfId="9" applyFont="1" applyBorder="1" applyAlignment="1">
      <alignment horizontal="left" vertical="center"/>
    </xf>
    <xf numFmtId="0" fontId="14" fillId="0" borderId="1" xfId="5" applyFont="1" applyBorder="1" applyAlignment="1" applyProtection="1">
      <alignment vertical="center" wrapText="1" readingOrder="1"/>
      <protection hidden="1"/>
    </xf>
    <xf numFmtId="0" fontId="16" fillId="4" borderId="1" xfId="5" applyFont="1" applyFill="1" applyBorder="1" applyAlignment="1" applyProtection="1">
      <alignment wrapText="1" readingOrder="1"/>
      <protection hidden="1"/>
    </xf>
    <xf numFmtId="0" fontId="24" fillId="8" borderId="2" xfId="5" applyFont="1" applyFill="1" applyBorder="1" applyAlignment="1" applyProtection="1">
      <alignment vertical="center" wrapText="1" readingOrder="1"/>
      <protection hidden="1"/>
    </xf>
    <xf numFmtId="0" fontId="24" fillId="3" borderId="2" xfId="5" applyFont="1" applyFill="1" applyBorder="1" applyAlignment="1" applyProtection="1">
      <alignment vertical="center" wrapText="1" readingOrder="1"/>
      <protection hidden="1"/>
    </xf>
    <xf numFmtId="0" fontId="24" fillId="0" borderId="2" xfId="5" applyFont="1" applyBorder="1" applyAlignment="1" applyProtection="1">
      <alignment vertical="center" wrapText="1" readingOrder="1"/>
      <protection hidden="1"/>
    </xf>
    <xf numFmtId="0" fontId="24" fillId="0" borderId="13" xfId="5" applyFont="1" applyBorder="1" applyAlignment="1" applyProtection="1">
      <alignment vertical="center" wrapText="1" readingOrder="1"/>
      <protection hidden="1"/>
    </xf>
    <xf numFmtId="0" fontId="24" fillId="0" borderId="19" xfId="5" applyFont="1" applyBorder="1" applyAlignment="1" applyProtection="1">
      <alignment vertical="center" wrapText="1" readingOrder="1"/>
      <protection hidden="1"/>
    </xf>
    <xf numFmtId="0" fontId="24" fillId="0" borderId="20" xfId="5" applyFont="1" applyBorder="1" applyAlignment="1" applyProtection="1">
      <alignment vertical="center" wrapText="1" readingOrder="1"/>
      <protection hidden="1"/>
    </xf>
    <xf numFmtId="0" fontId="12" fillId="0" borderId="2" xfId="5" applyBorder="1" applyAlignment="1" applyProtection="1">
      <alignment vertical="center" wrapText="1" readingOrder="1"/>
      <protection hidden="1"/>
    </xf>
    <xf numFmtId="0" fontId="12" fillId="0" borderId="2" xfId="8" applyFont="1" applyBorder="1" applyAlignment="1" applyProtection="1">
      <alignment wrapText="1" readingOrder="1"/>
      <protection hidden="1"/>
    </xf>
    <xf numFmtId="0" fontId="25" fillId="0" borderId="24" xfId="5" applyFont="1" applyBorder="1" applyAlignment="1" applyProtection="1">
      <alignment vertical="center" wrapText="1" readingOrder="1"/>
      <protection hidden="1"/>
    </xf>
    <xf numFmtId="0" fontId="25" fillId="0" borderId="25" xfId="5" applyFont="1" applyBorder="1" applyAlignment="1" applyProtection="1">
      <alignment vertical="center" wrapText="1" readingOrder="1"/>
      <protection hidden="1"/>
    </xf>
    <xf numFmtId="0" fontId="27" fillId="9" borderId="2" xfId="5" applyFont="1" applyFill="1" applyBorder="1" applyAlignment="1" applyProtection="1">
      <alignment vertical="center" wrapText="1" readingOrder="1"/>
      <protection hidden="1"/>
    </xf>
    <xf numFmtId="0" fontId="27" fillId="0" borderId="2" xfId="5" applyFont="1" applyBorder="1" applyAlignment="1" applyProtection="1">
      <alignment vertical="center" wrapText="1" readingOrder="1"/>
      <protection hidden="1"/>
    </xf>
    <xf numFmtId="0" fontId="25" fillId="0" borderId="2" xfId="5" applyFont="1" applyBorder="1" applyAlignment="1" applyProtection="1">
      <alignment vertical="center" wrapText="1" readingOrder="1"/>
      <protection hidden="1"/>
    </xf>
    <xf numFmtId="0" fontId="27" fillId="9" borderId="20" xfId="8" applyFont="1" applyFill="1" applyBorder="1" applyAlignment="1" applyProtection="1">
      <alignment vertical="center" wrapText="1" readingOrder="1"/>
      <protection hidden="1"/>
    </xf>
    <xf numFmtId="0" fontId="27" fillId="0" borderId="2" xfId="8" applyFont="1" applyBorder="1" applyAlignment="1" applyProtection="1">
      <alignment vertical="center" wrapText="1" readingOrder="1"/>
      <protection hidden="1"/>
    </xf>
    <xf numFmtId="0" fontId="28" fillId="0" borderId="2" xfId="5" applyFont="1" applyBorder="1" applyAlignment="1" applyProtection="1">
      <alignment vertical="center" wrapText="1" readingOrder="1"/>
      <protection hidden="1"/>
    </xf>
    <xf numFmtId="0" fontId="29" fillId="8" borderId="2" xfId="5" applyFont="1" applyFill="1" applyBorder="1" applyAlignment="1" applyProtection="1">
      <alignment vertical="center" wrapText="1" readingOrder="1"/>
      <protection hidden="1"/>
    </xf>
    <xf numFmtId="0" fontId="30" fillId="0" borderId="2" xfId="5" applyFont="1" applyBorder="1" applyAlignment="1" applyProtection="1">
      <alignment wrapText="1" readingOrder="1"/>
      <protection hidden="1"/>
    </xf>
    <xf numFmtId="0" fontId="27" fillId="9" borderId="20" xfId="5" applyFont="1" applyFill="1" applyBorder="1" applyAlignment="1" applyProtection="1">
      <alignment vertical="center" readingOrder="1"/>
      <protection hidden="1"/>
    </xf>
    <xf numFmtId="0" fontId="29" fillId="8" borderId="13" xfId="5" applyFont="1" applyFill="1" applyBorder="1" applyAlignment="1" applyProtection="1">
      <alignment vertical="center" wrapText="1" readingOrder="1"/>
      <protection hidden="1"/>
    </xf>
    <xf numFmtId="0" fontId="41" fillId="0" borderId="9" xfId="5" applyFont="1" applyBorder="1" applyAlignment="1" applyProtection="1">
      <alignment horizontal="center" vertical="center" readingOrder="1"/>
      <protection hidden="1"/>
    </xf>
    <xf numFmtId="0" fontId="41" fillId="13" borderId="9" xfId="5" applyFont="1" applyFill="1" applyBorder="1" applyAlignment="1" applyProtection="1">
      <alignment horizontal="center" vertical="center" readingOrder="1"/>
      <protection hidden="1"/>
    </xf>
    <xf numFmtId="0" fontId="42" fillId="3" borderId="4" xfId="5" applyFont="1" applyFill="1" applyBorder="1" applyAlignment="1" applyProtection="1">
      <alignment horizontal="center" vertical="center" wrapText="1" readingOrder="1"/>
      <protection hidden="1"/>
    </xf>
    <xf numFmtId="0" fontId="42" fillId="7" borderId="6" xfId="5" applyFont="1" applyFill="1" applyBorder="1" applyAlignment="1" applyProtection="1">
      <alignment horizontal="center" vertical="center" wrapText="1" readingOrder="1"/>
      <protection hidden="1"/>
    </xf>
    <xf numFmtId="0" fontId="41" fillId="3" borderId="0" xfId="5" applyFont="1" applyFill="1" applyAlignment="1" applyProtection="1">
      <alignment horizontal="center" vertical="center" readingOrder="1"/>
      <protection hidden="1"/>
    </xf>
    <xf numFmtId="0" fontId="44" fillId="0" borderId="0" xfId="0" applyFont="1" applyAlignment="1">
      <alignment horizontal="center" vertical="center"/>
    </xf>
    <xf numFmtId="0" fontId="45" fillId="8" borderId="2" xfId="5" applyFont="1" applyFill="1" applyBorder="1" applyAlignment="1" applyProtection="1">
      <alignment horizontal="center" vertical="center" wrapText="1" readingOrder="1"/>
      <protection hidden="1"/>
    </xf>
    <xf numFmtId="0" fontId="45" fillId="3" borderId="2" xfId="5" applyFont="1" applyFill="1" applyBorder="1" applyAlignment="1" applyProtection="1">
      <alignment horizontal="center" vertical="center" wrapText="1" readingOrder="1"/>
      <protection hidden="1"/>
    </xf>
    <xf numFmtId="0" fontId="45" fillId="0" borderId="2" xfId="5" applyFont="1" applyBorder="1" applyAlignment="1" applyProtection="1">
      <alignment horizontal="center" vertical="center" wrapText="1" readingOrder="1"/>
      <protection hidden="1"/>
    </xf>
    <xf numFmtId="0" fontId="45" fillId="0" borderId="13" xfId="5" applyFont="1" applyBorder="1" applyAlignment="1" applyProtection="1">
      <alignment horizontal="center" vertical="center" wrapText="1" readingOrder="1"/>
      <protection hidden="1"/>
    </xf>
    <xf numFmtId="0" fontId="45" fillId="0" borderId="19" xfId="5" applyFont="1" applyBorder="1" applyAlignment="1" applyProtection="1">
      <alignment horizontal="center" vertical="center" wrapText="1" readingOrder="1"/>
      <protection hidden="1"/>
    </xf>
    <xf numFmtId="0" fontId="45" fillId="0" borderId="20" xfId="5" applyFont="1" applyBorder="1" applyAlignment="1" applyProtection="1">
      <alignment horizontal="center" vertical="center" wrapText="1" readingOrder="1"/>
      <protection hidden="1"/>
    </xf>
    <xf numFmtId="0" fontId="41" fillId="0" borderId="2" xfId="5" applyFont="1" applyBorder="1" applyAlignment="1" applyProtection="1">
      <alignment horizontal="center" vertical="center" wrapText="1" readingOrder="1"/>
      <protection hidden="1"/>
    </xf>
    <xf numFmtId="0" fontId="41" fillId="0" borderId="2" xfId="8" applyFont="1" applyBorder="1" applyAlignment="1" applyProtection="1">
      <alignment horizontal="center" vertical="center" wrapText="1" readingOrder="1"/>
      <protection hidden="1"/>
    </xf>
    <xf numFmtId="0" fontId="46" fillId="0" borderId="24" xfId="5" applyFont="1" applyBorder="1" applyAlignment="1" applyProtection="1">
      <alignment horizontal="center" vertical="center" wrapText="1" readingOrder="1"/>
      <protection hidden="1"/>
    </xf>
    <xf numFmtId="0" fontId="46" fillId="0" borderId="25" xfId="5" applyFont="1" applyBorder="1" applyAlignment="1" applyProtection="1">
      <alignment horizontal="center" vertical="center" wrapText="1" readingOrder="1"/>
      <protection hidden="1"/>
    </xf>
    <xf numFmtId="0" fontId="43" fillId="9" borderId="2" xfId="5" applyFont="1" applyFill="1" applyBorder="1" applyAlignment="1" applyProtection="1">
      <alignment horizontal="center" vertical="center" wrapText="1" readingOrder="1"/>
      <protection hidden="1"/>
    </xf>
    <xf numFmtId="0" fontId="43" fillId="0" borderId="2" xfId="5" applyFont="1" applyBorder="1" applyAlignment="1" applyProtection="1">
      <alignment horizontal="center" vertical="center" wrapText="1" readingOrder="1"/>
      <protection hidden="1"/>
    </xf>
    <xf numFmtId="0" fontId="46" fillId="0" borderId="2" xfId="5" applyFont="1" applyBorder="1" applyAlignment="1" applyProtection="1">
      <alignment horizontal="center" vertical="center" wrapText="1" readingOrder="1"/>
      <protection hidden="1"/>
    </xf>
    <xf numFmtId="0" fontId="43" fillId="9" borderId="20" xfId="8" applyFont="1" applyFill="1" applyBorder="1" applyAlignment="1" applyProtection="1">
      <alignment horizontal="center" vertical="center" wrapText="1" readingOrder="1"/>
      <protection hidden="1"/>
    </xf>
    <xf numFmtId="0" fontId="43" fillId="0" borderId="2" xfId="8" applyFont="1" applyBorder="1" applyAlignment="1" applyProtection="1">
      <alignment horizontal="center" vertical="center" wrapText="1" readingOrder="1"/>
      <protection hidden="1"/>
    </xf>
    <xf numFmtId="0" fontId="47" fillId="0" borderId="2" xfId="5" applyFont="1" applyBorder="1" applyAlignment="1" applyProtection="1">
      <alignment horizontal="center" vertical="center" wrapText="1" readingOrder="1"/>
      <protection hidden="1"/>
    </xf>
    <xf numFmtId="0" fontId="43" fillId="9" borderId="20" xfId="5" applyFont="1" applyFill="1" applyBorder="1" applyAlignment="1" applyProtection="1">
      <alignment horizontal="center" vertical="center" readingOrder="1"/>
      <protection hidden="1"/>
    </xf>
    <xf numFmtId="0" fontId="44" fillId="13" borderId="0" xfId="0" applyFont="1" applyFill="1" applyAlignment="1">
      <alignment horizontal="center" vertical="center"/>
    </xf>
    <xf numFmtId="0" fontId="48" fillId="0" borderId="0" xfId="0" applyFont="1"/>
    <xf numFmtId="0" fontId="48" fillId="13" borderId="39" xfId="0" applyFont="1" applyFill="1" applyBorder="1" applyAlignment="1">
      <alignment vertical="center"/>
    </xf>
    <xf numFmtId="0" fontId="9" fillId="0" borderId="0" xfId="0" applyFont="1"/>
    <xf numFmtId="0" fontId="4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9" fillId="14" borderId="0" xfId="0" applyFont="1" applyFill="1"/>
    <xf numFmtId="0" fontId="9" fillId="15" borderId="0" xfId="0" applyFont="1" applyFill="1"/>
    <xf numFmtId="0" fontId="4" fillId="15" borderId="0" xfId="0" applyFont="1" applyFill="1"/>
    <xf numFmtId="0" fontId="4" fillId="16" borderId="0" xfId="0" applyFont="1" applyFill="1"/>
    <xf numFmtId="0" fontId="9" fillId="16" borderId="0" xfId="0" applyFont="1" applyFill="1"/>
    <xf numFmtId="0" fontId="0" fillId="16" borderId="0" xfId="0" applyFill="1"/>
    <xf numFmtId="0" fontId="9" fillId="17" borderId="0" xfId="0" applyFont="1" applyFill="1"/>
    <xf numFmtId="0" fontId="9" fillId="13" borderId="0" xfId="0" applyFont="1" applyFill="1"/>
    <xf numFmtId="0" fontId="9" fillId="18" borderId="0" xfId="0" applyFont="1" applyFill="1"/>
    <xf numFmtId="0" fontId="9" fillId="19" borderId="0" xfId="0" applyFont="1" applyFill="1"/>
    <xf numFmtId="0" fontId="49" fillId="19" borderId="0" xfId="0" applyFont="1" applyFill="1"/>
    <xf numFmtId="0" fontId="4" fillId="20" borderId="0" xfId="0" applyFont="1" applyFill="1"/>
    <xf numFmtId="0" fontId="9" fillId="20" borderId="0" xfId="0" applyFont="1" applyFill="1"/>
    <xf numFmtId="0" fontId="4" fillId="21" borderId="0" xfId="0" applyFont="1" applyFill="1"/>
    <xf numFmtId="0" fontId="9" fillId="21" borderId="0" xfId="0" applyFont="1" applyFill="1"/>
    <xf numFmtId="0" fontId="9" fillId="22" borderId="0" xfId="0" applyFont="1" applyFill="1"/>
    <xf numFmtId="0" fontId="9" fillId="23" borderId="0" xfId="0" applyFont="1" applyFill="1"/>
    <xf numFmtId="0" fontId="9" fillId="24" borderId="0" xfId="0" applyFont="1" applyFill="1"/>
    <xf numFmtId="0" fontId="9" fillId="25" borderId="0" xfId="0" applyFont="1" applyFill="1"/>
    <xf numFmtId="0" fontId="49" fillId="25" borderId="0" xfId="0" applyFont="1" applyFill="1"/>
    <xf numFmtId="0" fontId="6" fillId="25" borderId="0" xfId="0" applyFont="1" applyFill="1"/>
    <xf numFmtId="0" fontId="5" fillId="25" borderId="0" xfId="0" applyFont="1" applyFill="1"/>
    <xf numFmtId="0" fontId="7" fillId="25" borderId="0" xfId="0" applyFont="1" applyFill="1"/>
    <xf numFmtId="0" fontId="8" fillId="25" borderId="0" xfId="0" applyFont="1" applyFill="1"/>
    <xf numFmtId="0" fontId="3" fillId="25" borderId="0" xfId="0" applyFont="1" applyFill="1"/>
    <xf numFmtId="0" fontId="0" fillId="25" borderId="0" xfId="0" applyFill="1"/>
    <xf numFmtId="0" fontId="50" fillId="25" borderId="0" xfId="0" applyFont="1" applyFill="1"/>
    <xf numFmtId="0" fontId="50" fillId="0" borderId="0" xfId="0" applyFont="1"/>
    <xf numFmtId="0" fontId="3" fillId="0" borderId="0" xfId="0" applyFont="1"/>
    <xf numFmtId="0" fontId="52" fillId="15" borderId="0" xfId="0" applyFont="1" applyFill="1"/>
    <xf numFmtId="0" fontId="53" fillId="15" borderId="0" xfId="0" applyFont="1" applyFill="1"/>
    <xf numFmtId="0" fontId="21" fillId="15" borderId="0" xfId="0" applyFont="1" applyFill="1"/>
    <xf numFmtId="0" fontId="52" fillId="16" borderId="0" xfId="0" applyFont="1" applyFill="1"/>
    <xf numFmtId="0" fontId="21" fillId="16" borderId="0" xfId="0" applyFont="1" applyFill="1"/>
    <xf numFmtId="0" fontId="52" fillId="17" borderId="0" xfId="0" applyFont="1" applyFill="1"/>
    <xf numFmtId="0" fontId="52" fillId="13" borderId="0" xfId="0" applyFont="1" applyFill="1"/>
    <xf numFmtId="0" fontId="52" fillId="18" borderId="0" xfId="0" applyFont="1" applyFill="1"/>
    <xf numFmtId="0" fontId="52" fillId="14" borderId="0" xfId="0" applyFont="1" applyFill="1"/>
    <xf numFmtId="0" fontId="52" fillId="19" borderId="0" xfId="0" applyFont="1" applyFill="1"/>
    <xf numFmtId="0" fontId="52" fillId="20" borderId="0" xfId="0" applyFont="1" applyFill="1"/>
    <xf numFmtId="0" fontId="52" fillId="21" borderId="0" xfId="0" applyFont="1" applyFill="1"/>
    <xf numFmtId="0" fontId="21" fillId="21" borderId="0" xfId="0" applyFont="1" applyFill="1"/>
    <xf numFmtId="0" fontId="54" fillId="21" borderId="0" xfId="0" applyFont="1" applyFill="1"/>
    <xf numFmtId="0" fontId="52" fillId="22" borderId="0" xfId="0" applyFont="1" applyFill="1"/>
    <xf numFmtId="0" fontId="52" fillId="23" borderId="0" xfId="0" applyFont="1" applyFill="1"/>
    <xf numFmtId="0" fontId="52" fillId="24" borderId="0" xfId="0" applyFont="1" applyFill="1"/>
    <xf numFmtId="0" fontId="52" fillId="25" borderId="0" xfId="0" applyFont="1" applyFill="1"/>
    <xf numFmtId="0" fontId="21" fillId="0" borderId="0" xfId="0" applyFont="1"/>
    <xf numFmtId="0" fontId="2" fillId="17" borderId="0" xfId="0" applyFont="1" applyFill="1"/>
    <xf numFmtId="0" fontId="2" fillId="15" borderId="0" xfId="0" applyFont="1" applyFill="1"/>
    <xf numFmtId="0" fontId="55" fillId="15" borderId="0" xfId="0" applyFont="1" applyFill="1"/>
    <xf numFmtId="0" fontId="0" fillId="15" borderId="0" xfId="0" applyFill="1"/>
    <xf numFmtId="0" fontId="2" fillId="16" borderId="0" xfId="0" applyFont="1" applyFill="1"/>
    <xf numFmtId="0" fontId="2" fillId="13" borderId="0" xfId="0" applyFont="1" applyFill="1"/>
    <xf numFmtId="0" fontId="2" fillId="18" borderId="0" xfId="0" applyFont="1" applyFill="1"/>
    <xf numFmtId="0" fontId="2" fillId="14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0" fillId="21" borderId="0" xfId="0" applyFill="1"/>
    <xf numFmtId="0" fontId="50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56" fillId="15" borderId="0" xfId="10" applyFont="1" applyFill="1"/>
    <xf numFmtId="0" fontId="56" fillId="16" borderId="0" xfId="10" applyFont="1" applyFill="1"/>
    <xf numFmtId="0" fontId="56" fillId="17" borderId="0" xfId="10" applyFont="1" applyFill="1"/>
    <xf numFmtId="0" fontId="56" fillId="13" borderId="0" xfId="10" applyFont="1" applyFill="1"/>
    <xf numFmtId="0" fontId="56" fillId="18" borderId="0" xfId="10" applyFont="1" applyFill="1"/>
    <xf numFmtId="0" fontId="56" fillId="14" borderId="0" xfId="10" applyFont="1" applyFill="1"/>
    <xf numFmtId="0" fontId="56" fillId="19" borderId="0" xfId="10" applyFont="1" applyFill="1"/>
    <xf numFmtId="0" fontId="56" fillId="20" borderId="0" xfId="10" applyFont="1" applyFill="1"/>
    <xf numFmtId="0" fontId="56" fillId="21" borderId="0" xfId="10" applyFont="1" applyFill="1"/>
    <xf numFmtId="0" fontId="56" fillId="22" borderId="0" xfId="10" applyFont="1" applyFill="1"/>
    <xf numFmtId="0" fontId="56" fillId="23" borderId="0" xfId="10" applyFont="1" applyFill="1"/>
    <xf numFmtId="0" fontId="56" fillId="24" borderId="0" xfId="10" applyFont="1" applyFill="1"/>
    <xf numFmtId="0" fontId="57" fillId="0" borderId="0" xfId="0" applyFont="1"/>
    <xf numFmtId="0" fontId="56" fillId="17" borderId="0" xfId="0" applyFont="1" applyFill="1"/>
    <xf numFmtId="0" fontId="1" fillId="22" borderId="0" xfId="0" applyFont="1" applyFill="1"/>
    <xf numFmtId="0" fontId="2" fillId="0" borderId="0" xfId="0" applyFont="1"/>
    <xf numFmtId="0" fontId="52" fillId="0" borderId="0" xfId="10" applyFont="1"/>
    <xf numFmtId="0" fontId="58" fillId="22" borderId="0" xfId="0" applyFont="1" applyFill="1"/>
    <xf numFmtId="0" fontId="58" fillId="22" borderId="0" xfId="10" applyFont="1" applyFill="1"/>
    <xf numFmtId="0" fontId="1" fillId="0" borderId="0" xfId="0" applyFont="1"/>
    <xf numFmtId="0" fontId="59" fillId="0" borderId="0" xfId="0" applyFont="1"/>
    <xf numFmtId="0" fontId="59" fillId="0" borderId="0" xfId="0" applyFont="1" applyAlignment="1">
      <alignment vertical="center"/>
    </xf>
    <xf numFmtId="0" fontId="57" fillId="15" borderId="0" xfId="0" applyFont="1" applyFill="1"/>
    <xf numFmtId="0" fontId="2" fillId="21" borderId="40" xfId="0" applyFont="1" applyFill="1" applyBorder="1"/>
    <xf numFmtId="0" fontId="2" fillId="21" borderId="41" xfId="0" applyFont="1" applyFill="1" applyBorder="1"/>
    <xf numFmtId="0" fontId="56" fillId="21" borderId="42" xfId="10" applyFont="1" applyFill="1" applyBorder="1"/>
    <xf numFmtId="0" fontId="2" fillId="21" borderId="43" xfId="0" applyFont="1" applyFill="1" applyBorder="1"/>
    <xf numFmtId="0" fontId="56" fillId="21" borderId="11" xfId="10" applyFont="1" applyFill="1" applyBorder="1"/>
    <xf numFmtId="0" fontId="2" fillId="21" borderId="36" xfId="0" applyFont="1" applyFill="1" applyBorder="1"/>
    <xf numFmtId="0" fontId="2" fillId="21" borderId="44" xfId="0" applyFont="1" applyFill="1" applyBorder="1"/>
    <xf numFmtId="0" fontId="56" fillId="21" borderId="9" xfId="10" applyFont="1" applyFill="1" applyBorder="1"/>
    <xf numFmtId="0" fontId="2" fillId="25" borderId="40" xfId="0" applyFont="1" applyFill="1" applyBorder="1"/>
    <xf numFmtId="0" fontId="2" fillId="25" borderId="41" xfId="0" applyFont="1" applyFill="1" applyBorder="1"/>
    <xf numFmtId="0" fontId="56" fillId="25" borderId="42" xfId="10" applyFont="1" applyFill="1" applyBorder="1"/>
    <xf numFmtId="0" fontId="2" fillId="25" borderId="43" xfId="0" applyFont="1" applyFill="1" applyBorder="1"/>
    <xf numFmtId="0" fontId="2" fillId="25" borderId="0" xfId="0" applyFont="1" applyFill="1"/>
    <xf numFmtId="0" fontId="56" fillId="25" borderId="11" xfId="10" applyFont="1" applyFill="1" applyBorder="1"/>
    <xf numFmtId="0" fontId="2" fillId="25" borderId="36" xfId="0" applyFont="1" applyFill="1" applyBorder="1"/>
    <xf numFmtId="0" fontId="2" fillId="25" borderId="44" xfId="0" applyFont="1" applyFill="1" applyBorder="1"/>
    <xf numFmtId="0" fontId="56" fillId="25" borderId="9" xfId="10" applyFont="1" applyFill="1" applyBorder="1"/>
    <xf numFmtId="0" fontId="52" fillId="15" borderId="0" xfId="10" applyFont="1" applyFill="1"/>
    <xf numFmtId="0" fontId="52" fillId="16" borderId="0" xfId="10" applyFont="1" applyFill="1"/>
    <xf numFmtId="0" fontId="52" fillId="17" borderId="0" xfId="10" applyFont="1" applyFill="1"/>
    <xf numFmtId="0" fontId="52" fillId="13" borderId="0" xfId="10" applyFont="1" applyFill="1"/>
    <xf numFmtId="0" fontId="52" fillId="18" borderId="0" xfId="10" applyFont="1" applyFill="1"/>
    <xf numFmtId="0" fontId="52" fillId="14" borderId="0" xfId="10" applyFont="1" applyFill="1"/>
    <xf numFmtId="0" fontId="52" fillId="19" borderId="0" xfId="10" applyFont="1" applyFill="1"/>
    <xf numFmtId="0" fontId="52" fillId="20" borderId="0" xfId="10" applyFont="1" applyFill="1"/>
    <xf numFmtId="0" fontId="52" fillId="21" borderId="0" xfId="10" applyFont="1" applyFill="1"/>
    <xf numFmtId="0" fontId="52" fillId="21" borderId="40" xfId="0" applyFont="1" applyFill="1" applyBorder="1"/>
    <xf numFmtId="0" fontId="52" fillId="21" borderId="41" xfId="0" applyFont="1" applyFill="1" applyBorder="1"/>
    <xf numFmtId="0" fontId="52" fillId="21" borderId="42" xfId="10" applyFont="1" applyFill="1" applyBorder="1"/>
    <xf numFmtId="0" fontId="52" fillId="21" borderId="43" xfId="0" applyFont="1" applyFill="1" applyBorder="1"/>
    <xf numFmtId="0" fontId="52" fillId="21" borderId="11" xfId="10" applyFont="1" applyFill="1" applyBorder="1"/>
    <xf numFmtId="0" fontId="52" fillId="21" borderId="36" xfId="0" applyFont="1" applyFill="1" applyBorder="1"/>
    <xf numFmtId="0" fontId="52" fillId="21" borderId="44" xfId="0" applyFont="1" applyFill="1" applyBorder="1"/>
    <xf numFmtId="0" fontId="52" fillId="21" borderId="9" xfId="10" applyFont="1" applyFill="1" applyBorder="1"/>
    <xf numFmtId="0" fontId="52" fillId="22" borderId="0" xfId="10" applyFont="1" applyFill="1"/>
    <xf numFmtId="0" fontId="52" fillId="23" borderId="0" xfId="10" applyFont="1" applyFill="1"/>
    <xf numFmtId="0" fontId="52" fillId="24" borderId="0" xfId="10" applyFont="1" applyFill="1"/>
    <xf numFmtId="0" fontId="52" fillId="25" borderId="40" xfId="0" applyFont="1" applyFill="1" applyBorder="1"/>
    <xf numFmtId="0" fontId="52" fillId="25" borderId="41" xfId="0" applyFont="1" applyFill="1" applyBorder="1"/>
    <xf numFmtId="0" fontId="52" fillId="25" borderId="42" xfId="10" applyFont="1" applyFill="1" applyBorder="1"/>
    <xf numFmtId="0" fontId="52" fillId="25" borderId="43" xfId="0" applyFont="1" applyFill="1" applyBorder="1"/>
    <xf numFmtId="0" fontId="52" fillId="25" borderId="11" xfId="10" applyFont="1" applyFill="1" applyBorder="1"/>
    <xf numFmtId="0" fontId="52" fillId="25" borderId="36" xfId="0" applyFont="1" applyFill="1" applyBorder="1"/>
    <xf numFmtId="0" fontId="52" fillId="25" borderId="44" xfId="0" applyFont="1" applyFill="1" applyBorder="1"/>
    <xf numFmtId="0" fontId="52" fillId="25" borderId="9" xfId="10" applyFont="1" applyFill="1" applyBorder="1"/>
    <xf numFmtId="0" fontId="53" fillId="0" borderId="0" xfId="0" applyFont="1"/>
    <xf numFmtId="0" fontId="60" fillId="19" borderId="40" xfId="0" applyFont="1" applyFill="1" applyBorder="1"/>
    <xf numFmtId="0" fontId="60" fillId="19" borderId="41" xfId="0" applyFont="1" applyFill="1" applyBorder="1"/>
    <xf numFmtId="0" fontId="60" fillId="19" borderId="42" xfId="0" applyFont="1" applyFill="1" applyBorder="1"/>
    <xf numFmtId="0" fontId="60" fillId="19" borderId="43" xfId="0" applyFont="1" applyFill="1" applyBorder="1"/>
    <xf numFmtId="0" fontId="60" fillId="19" borderId="0" xfId="0" applyFont="1" applyFill="1"/>
    <xf numFmtId="0" fontId="60" fillId="19" borderId="11" xfId="0" applyFont="1" applyFill="1" applyBorder="1"/>
    <xf numFmtId="0" fontId="60" fillId="19" borderId="36" xfId="0" applyFont="1" applyFill="1" applyBorder="1"/>
    <xf numFmtId="0" fontId="60" fillId="19" borderId="44" xfId="0" applyFont="1" applyFill="1" applyBorder="1"/>
    <xf numFmtId="0" fontId="60" fillId="19" borderId="9" xfId="0" applyFont="1" applyFill="1" applyBorder="1"/>
    <xf numFmtId="0" fontId="29" fillId="8" borderId="2" xfId="5" applyFont="1" applyFill="1" applyBorder="1" applyAlignment="1" applyProtection="1">
      <alignment horizontal="center" vertical="center" wrapText="1" readingOrder="1"/>
      <protection hidden="1"/>
    </xf>
    <xf numFmtId="0" fontId="12" fillId="0" borderId="2" xfId="8" applyFont="1" applyBorder="1" applyAlignment="1" applyProtection="1">
      <alignment horizontal="center" wrapText="1" readingOrder="1"/>
      <protection hidden="1"/>
    </xf>
    <xf numFmtId="0" fontId="29" fillId="8" borderId="13" xfId="5" applyFont="1" applyFill="1" applyBorder="1" applyAlignment="1" applyProtection="1">
      <alignment horizontal="center" vertical="center" wrapText="1" readingOrder="1"/>
      <protection hidden="1"/>
    </xf>
    <xf numFmtId="0" fontId="30" fillId="0" borderId="2" xfId="5" applyFont="1" applyBorder="1" applyAlignment="1" applyProtection="1">
      <alignment horizontal="center" wrapText="1" readingOrder="1"/>
      <protection hidden="1"/>
    </xf>
    <xf numFmtId="0" fontId="25" fillId="0" borderId="24" xfId="5" applyFont="1" applyBorder="1" applyAlignment="1" applyProtection="1">
      <alignment horizontal="left" vertical="center" wrapText="1" readingOrder="1"/>
      <protection hidden="1"/>
    </xf>
    <xf numFmtId="0" fontId="27" fillId="9" borderId="20" xfId="5" applyFont="1" applyFill="1" applyBorder="1" applyAlignment="1" applyProtection="1">
      <alignment horizontal="center" vertical="center" readingOrder="1"/>
      <protection hidden="1"/>
    </xf>
    <xf numFmtId="0" fontId="24" fillId="0" borderId="2" xfId="5" applyFont="1" applyBorder="1" applyAlignment="1" applyProtection="1">
      <alignment horizontal="center" vertical="center" wrapText="1" readingOrder="1"/>
      <protection hidden="1"/>
    </xf>
    <xf numFmtId="0" fontId="28" fillId="0" borderId="2" xfId="5" applyFont="1" applyBorder="1" applyAlignment="1" applyProtection="1">
      <alignment horizontal="center" vertical="center" wrapText="1" readingOrder="1"/>
      <protection hidden="1"/>
    </xf>
    <xf numFmtId="0" fontId="24" fillId="3" borderId="2" xfId="5" applyFont="1" applyFill="1" applyBorder="1" applyAlignment="1" applyProtection="1">
      <alignment horizontal="center" vertical="center" wrapText="1" readingOrder="1"/>
      <protection hidden="1"/>
    </xf>
    <xf numFmtId="0" fontId="25" fillId="0" borderId="25" xfId="5" applyFont="1" applyBorder="1" applyAlignment="1" applyProtection="1">
      <alignment horizontal="left" vertical="center" wrapText="1" readingOrder="1"/>
      <protection hidden="1"/>
    </xf>
    <xf numFmtId="0" fontId="25" fillId="0" borderId="2" xfId="5" applyFont="1" applyBorder="1" applyAlignment="1" applyProtection="1">
      <alignment horizontal="left" vertical="center" wrapText="1" readingOrder="1"/>
      <protection hidden="1"/>
    </xf>
    <xf numFmtId="0" fontId="27" fillId="9" borderId="20" xfId="8" applyFont="1" applyFill="1" applyBorder="1" applyAlignment="1" applyProtection="1">
      <alignment horizontal="center" vertical="center" wrapText="1" readingOrder="1"/>
      <protection hidden="1"/>
    </xf>
    <xf numFmtId="0" fontId="27" fillId="0" borderId="2" xfId="8" applyFont="1" applyBorder="1" applyAlignment="1" applyProtection="1">
      <alignment horizontal="center" vertical="center" wrapText="1" readingOrder="1"/>
      <protection hidden="1"/>
    </xf>
    <xf numFmtId="0" fontId="27" fillId="9" borderId="2" xfId="5" applyFont="1" applyFill="1" applyBorder="1" applyAlignment="1" applyProtection="1">
      <alignment horizontal="center" vertical="center" wrapText="1" readingOrder="1"/>
      <protection hidden="1"/>
    </xf>
    <xf numFmtId="0" fontId="27" fillId="0" borderId="2" xfId="5" applyFont="1" applyBorder="1" applyAlignment="1" applyProtection="1">
      <alignment horizontal="center" vertical="center" wrapText="1" readingOrder="1"/>
      <protection hidden="1"/>
    </xf>
    <xf numFmtId="0" fontId="12" fillId="0" borderId="2" xfId="5" applyBorder="1" applyAlignment="1" applyProtection="1">
      <alignment horizontal="center" vertical="center" wrapText="1" readingOrder="1"/>
      <protection hidden="1"/>
    </xf>
    <xf numFmtId="0" fontId="24" fillId="8" borderId="2" xfId="5" applyFont="1" applyFill="1" applyBorder="1" applyAlignment="1" applyProtection="1">
      <alignment horizontal="center" vertical="center" wrapText="1" readingOrder="1"/>
      <protection hidden="1"/>
    </xf>
    <xf numFmtId="0" fontId="24" fillId="0" borderId="13" xfId="5" applyFont="1" applyBorder="1" applyAlignment="1" applyProtection="1">
      <alignment horizontal="center" vertical="center" wrapText="1" readingOrder="1"/>
      <protection hidden="1"/>
    </xf>
    <xf numFmtId="0" fontId="24" fillId="0" borderId="19" xfId="5" applyFont="1" applyBorder="1" applyAlignment="1" applyProtection="1">
      <alignment horizontal="center" vertical="center" wrapText="1" readingOrder="1"/>
      <protection hidden="1"/>
    </xf>
    <xf numFmtId="0" fontId="24" fillId="0" borderId="20" xfId="5" applyFont="1" applyBorder="1" applyAlignment="1" applyProtection="1">
      <alignment horizontal="center" vertical="center" wrapText="1" readingOrder="1"/>
      <protection hidden="1"/>
    </xf>
    <xf numFmtId="0" fontId="14" fillId="0" borderId="1" xfId="5" applyFont="1" applyBorder="1" applyAlignment="1" applyProtection="1">
      <alignment horizontal="center" vertical="center" wrapText="1" readingOrder="1"/>
      <protection hidden="1"/>
    </xf>
    <xf numFmtId="0" fontId="16" fillId="4" borderId="1" xfId="5" applyFont="1" applyFill="1" applyBorder="1" applyAlignment="1" applyProtection="1">
      <alignment horizontal="center" wrapText="1" readingOrder="1"/>
      <protection hidden="1"/>
    </xf>
    <xf numFmtId="0" fontId="53" fillId="19" borderId="40" xfId="0" applyFont="1" applyFill="1" applyBorder="1"/>
    <xf numFmtId="0" fontId="53" fillId="19" borderId="41" xfId="0" applyFont="1" applyFill="1" applyBorder="1"/>
    <xf numFmtId="0" fontId="53" fillId="19" borderId="42" xfId="0" applyFont="1" applyFill="1" applyBorder="1"/>
    <xf numFmtId="0" fontId="53" fillId="19" borderId="43" xfId="0" applyFont="1" applyFill="1" applyBorder="1"/>
    <xf numFmtId="0" fontId="53" fillId="19" borderId="0" xfId="0" applyFont="1" applyFill="1"/>
    <xf numFmtId="0" fontId="53" fillId="19" borderId="11" xfId="0" applyFont="1" applyFill="1" applyBorder="1"/>
    <xf numFmtId="0" fontId="53" fillId="19" borderId="36" xfId="0" applyFont="1" applyFill="1" applyBorder="1"/>
    <xf numFmtId="0" fontId="53" fillId="19" borderId="44" xfId="0" applyFont="1" applyFill="1" applyBorder="1"/>
    <xf numFmtId="0" fontId="53" fillId="19" borderId="9" xfId="0" applyFont="1" applyFill="1" applyBorder="1"/>
  </cellXfs>
  <cellStyles count="11">
    <cellStyle name="Currency" xfId="1" builtinId="4"/>
    <cellStyle name="Currency 2" xfId="3" xr:uid="{00000000-0005-0000-0000-000006000000}"/>
    <cellStyle name="Hyperlink_Vortex List Price Sheet_031111" xfId="4" xr:uid="{00000000-0005-0000-0000-000007000000}"/>
    <cellStyle name="Normal" xfId="0" builtinId="0"/>
    <cellStyle name="Normal 2" xfId="5" xr:uid="{00000000-0005-0000-0000-000008000000}"/>
    <cellStyle name="Normal 2 2" xfId="6" xr:uid="{00000000-0005-0000-0000-000009000000}"/>
    <cellStyle name="Normal 3" xfId="9" xr:uid="{EFF75C4D-7009-4F8D-92AF-447D97684A7C}"/>
    <cellStyle name="Normal 4" xfId="10" xr:uid="{E8CCB9C5-2149-457F-8544-A54A9F310F56}"/>
    <cellStyle name="Normal 4 2" xfId="7" xr:uid="{00000000-0005-0000-0000-00000A000000}"/>
    <cellStyle name="Normal_Qty Sheet" xfId="8" xr:uid="{00000000-0005-0000-0000-00000B000000}"/>
    <cellStyle name="Percent" xfId="2" builtinId="5"/>
  </cellStyles>
  <dxfs count="2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5E0B4"/>
      <rgbColor rgb="FF7F7F7F"/>
      <rgbColor rgb="FF9999FF"/>
      <rgbColor rgb="FF993366"/>
      <rgbColor rgb="FFFFF2CC"/>
      <rgbColor rgb="FFF2F2F2"/>
      <rgbColor rgb="FF660066"/>
      <rgbColor rgb="FFFF7F7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1274760</xdr:colOff>
      <xdr:row>0</xdr:row>
      <xdr:rowOff>0</xdr:rowOff>
    </xdr:from>
    <xdr:to>
      <xdr:col>7</xdr:col>
      <xdr:colOff>741600</xdr:colOff>
      <xdr:row>2</xdr:row>
      <xdr:rowOff>54360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62960" y="0"/>
          <a:ext cx="5335560" cy="1161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1274760</xdr:colOff>
      <xdr:row>0</xdr:row>
      <xdr:rowOff>0</xdr:rowOff>
    </xdr:from>
    <xdr:to>
      <xdr:col>8</xdr:col>
      <xdr:colOff>620640</xdr:colOff>
      <xdr:row>2</xdr:row>
      <xdr:rowOff>54360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AC6801-5558-417C-BC20-2569F4EB698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323135" y="0"/>
          <a:ext cx="5003730" cy="11592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1274760</xdr:colOff>
      <xdr:row>0</xdr:row>
      <xdr:rowOff>0</xdr:rowOff>
    </xdr:from>
    <xdr:to>
      <xdr:col>8</xdr:col>
      <xdr:colOff>620640</xdr:colOff>
      <xdr:row>2</xdr:row>
      <xdr:rowOff>54360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62960" y="0"/>
          <a:ext cx="5335560" cy="1161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1274760</xdr:colOff>
      <xdr:row>0</xdr:row>
      <xdr:rowOff>0</xdr:rowOff>
    </xdr:from>
    <xdr:to>
      <xdr:col>8</xdr:col>
      <xdr:colOff>620280</xdr:colOff>
      <xdr:row>2</xdr:row>
      <xdr:rowOff>54360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015680" y="0"/>
          <a:ext cx="5335560" cy="1161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14D0C-7550-4D3D-BF81-41A82B8C64E9}">
  <dimension ref="A1:L153"/>
  <sheetViews>
    <sheetView tabSelected="1" topLeftCell="A54" zoomScaleNormal="100" workbookViewId="0">
      <selection activeCell="F65" sqref="F65"/>
    </sheetView>
  </sheetViews>
  <sheetFormatPr defaultRowHeight="15" x14ac:dyDescent="0.25"/>
  <cols>
    <col min="1" max="1" width="68" style="297" bestFit="1" customWidth="1"/>
    <col min="2" max="2" width="18.28515625" style="297" bestFit="1" customWidth="1"/>
    <col min="3" max="3" width="20.28515625" style="297" bestFit="1" customWidth="1"/>
    <col min="4" max="4" width="9.140625" style="382"/>
  </cols>
  <sheetData>
    <row r="1" spans="1:4" x14ac:dyDescent="0.25">
      <c r="A1" s="279" t="s">
        <v>17</v>
      </c>
      <c r="B1" s="279" t="s">
        <v>18</v>
      </c>
      <c r="C1" s="279" t="s">
        <v>702</v>
      </c>
      <c r="D1" s="354">
        <v>3340.5</v>
      </c>
    </row>
    <row r="2" spans="1:4" x14ac:dyDescent="0.25">
      <c r="A2" s="279" t="s">
        <v>19</v>
      </c>
      <c r="B2" s="279" t="s">
        <v>20</v>
      </c>
      <c r="C2" s="279" t="s">
        <v>709</v>
      </c>
      <c r="D2" s="354">
        <v>3215</v>
      </c>
    </row>
    <row r="3" spans="1:4" x14ac:dyDescent="0.25">
      <c r="A3" s="279" t="s">
        <v>1962</v>
      </c>
      <c r="B3" s="279" t="s">
        <v>1963</v>
      </c>
      <c r="C3" s="279" t="s">
        <v>1972</v>
      </c>
      <c r="D3" s="354">
        <v>3215</v>
      </c>
    </row>
    <row r="4" spans="1:4" x14ac:dyDescent="0.25">
      <c r="A4" s="279" t="s">
        <v>1964</v>
      </c>
      <c r="B4" s="279" t="s">
        <v>1965</v>
      </c>
      <c r="C4" s="279" t="s">
        <v>1973</v>
      </c>
      <c r="D4" s="354">
        <v>3215</v>
      </c>
    </row>
    <row r="5" spans="1:4" x14ac:dyDescent="0.25">
      <c r="A5" s="279" t="s">
        <v>24</v>
      </c>
      <c r="B5" s="279" t="s">
        <v>25</v>
      </c>
      <c r="C5" s="279" t="s">
        <v>732</v>
      </c>
      <c r="D5" s="354">
        <v>3339</v>
      </c>
    </row>
    <row r="6" spans="1:4" x14ac:dyDescent="0.25">
      <c r="A6" s="279" t="s">
        <v>27</v>
      </c>
      <c r="B6" s="279" t="s">
        <v>28</v>
      </c>
      <c r="C6" s="279" t="s">
        <v>752</v>
      </c>
      <c r="D6" s="354">
        <v>1490.5</v>
      </c>
    </row>
    <row r="7" spans="1:4" x14ac:dyDescent="0.25">
      <c r="A7" s="279" t="s">
        <v>29</v>
      </c>
      <c r="B7" s="279" t="s">
        <v>1968</v>
      </c>
      <c r="C7" s="279" t="s">
        <v>1974</v>
      </c>
      <c r="D7" s="354">
        <v>1490.5</v>
      </c>
    </row>
    <row r="8" spans="1:4" x14ac:dyDescent="0.25">
      <c r="A8" s="279" t="s">
        <v>31</v>
      </c>
      <c r="B8" s="279" t="s">
        <v>32</v>
      </c>
      <c r="C8" s="279" t="s">
        <v>749</v>
      </c>
      <c r="D8" s="354">
        <v>1490.5</v>
      </c>
    </row>
    <row r="9" spans="1:4" x14ac:dyDescent="0.25">
      <c r="A9" s="279" t="s">
        <v>33</v>
      </c>
      <c r="B9" s="279" t="s">
        <v>1969</v>
      </c>
      <c r="C9" s="279" t="s">
        <v>1975</v>
      </c>
      <c r="D9" s="354">
        <v>1490.5</v>
      </c>
    </row>
    <row r="10" spans="1:4" x14ac:dyDescent="0.25">
      <c r="A10" s="279" t="s">
        <v>36</v>
      </c>
      <c r="B10" s="279" t="s">
        <v>37</v>
      </c>
      <c r="C10" s="279" t="s">
        <v>784</v>
      </c>
      <c r="D10" s="354">
        <v>1412.5</v>
      </c>
    </row>
    <row r="11" spans="1:4" x14ac:dyDescent="0.25">
      <c r="A11" s="279" t="s">
        <v>373</v>
      </c>
      <c r="B11" s="279" t="s">
        <v>374</v>
      </c>
      <c r="C11" s="279" t="s">
        <v>799</v>
      </c>
      <c r="D11" s="354">
        <v>1412.5</v>
      </c>
    </row>
    <row r="12" spans="1:4" x14ac:dyDescent="0.25">
      <c r="A12" s="279" t="s">
        <v>38</v>
      </c>
      <c r="B12" s="279" t="s">
        <v>39</v>
      </c>
      <c r="C12" s="279" t="s">
        <v>793</v>
      </c>
      <c r="D12" s="354">
        <v>2622.5</v>
      </c>
    </row>
    <row r="13" spans="1:4" x14ac:dyDescent="0.25">
      <c r="A13" s="279" t="s">
        <v>40</v>
      </c>
      <c r="B13" s="279" t="s">
        <v>41</v>
      </c>
      <c r="C13" s="279" t="s">
        <v>758</v>
      </c>
      <c r="D13" s="354">
        <v>1490.5</v>
      </c>
    </row>
    <row r="14" spans="1:4" x14ac:dyDescent="0.25">
      <c r="A14" s="279" t="s">
        <v>42</v>
      </c>
      <c r="B14" s="279" t="s">
        <v>1970</v>
      </c>
      <c r="C14" s="279" t="s">
        <v>1976</v>
      </c>
      <c r="D14" s="354">
        <v>1490.5</v>
      </c>
    </row>
    <row r="15" spans="1:4" x14ac:dyDescent="0.25">
      <c r="A15" s="279" t="s">
        <v>45</v>
      </c>
      <c r="B15" s="279" t="s">
        <v>46</v>
      </c>
      <c r="C15" s="279" t="s">
        <v>765</v>
      </c>
      <c r="D15" s="354">
        <v>3340.5</v>
      </c>
    </row>
    <row r="16" spans="1:4" x14ac:dyDescent="0.25">
      <c r="A16" s="279" t="s">
        <v>47</v>
      </c>
      <c r="B16" s="279" t="s">
        <v>48</v>
      </c>
      <c r="C16" s="279" t="s">
        <v>768</v>
      </c>
      <c r="D16" s="354">
        <v>1490.5</v>
      </c>
    </row>
    <row r="17" spans="1:4" x14ac:dyDescent="0.25">
      <c r="A17" s="279" t="s">
        <v>49</v>
      </c>
      <c r="B17" s="280" t="s">
        <v>1971</v>
      </c>
      <c r="C17" s="280" t="s">
        <v>1998</v>
      </c>
      <c r="D17" s="354">
        <v>1490.5</v>
      </c>
    </row>
    <row r="18" spans="1:4" x14ac:dyDescent="0.25">
      <c r="A18" s="279" t="s">
        <v>52</v>
      </c>
      <c r="B18" s="279" t="s">
        <v>53</v>
      </c>
      <c r="C18" s="279" t="s">
        <v>822</v>
      </c>
      <c r="D18" s="354">
        <v>2591</v>
      </c>
    </row>
    <row r="19" spans="1:4" x14ac:dyDescent="0.25">
      <c r="A19" s="281" t="s">
        <v>1966</v>
      </c>
      <c r="B19" s="281" t="s">
        <v>1967</v>
      </c>
      <c r="C19" s="281" t="s">
        <v>1978</v>
      </c>
      <c r="D19" s="354">
        <v>2591</v>
      </c>
    </row>
    <row r="20" spans="1:4" x14ac:dyDescent="0.25">
      <c r="A20" s="282" t="s">
        <v>55</v>
      </c>
      <c r="B20" s="282" t="s">
        <v>56</v>
      </c>
      <c r="C20" s="282" t="s">
        <v>801</v>
      </c>
      <c r="D20" s="355">
        <v>1465.5</v>
      </c>
    </row>
    <row r="21" spans="1:4" x14ac:dyDescent="0.25">
      <c r="A21" s="282" t="s">
        <v>57</v>
      </c>
      <c r="B21" s="282" t="s">
        <v>58</v>
      </c>
      <c r="C21" s="283" t="s">
        <v>812</v>
      </c>
      <c r="D21" s="355">
        <v>1741</v>
      </c>
    </row>
    <row r="22" spans="1:4" x14ac:dyDescent="0.25">
      <c r="A22" s="282" t="s">
        <v>59</v>
      </c>
      <c r="B22" s="282" t="s">
        <v>60</v>
      </c>
      <c r="C22" s="282" t="s">
        <v>804</v>
      </c>
      <c r="D22" s="355">
        <v>1465.5</v>
      </c>
    </row>
    <row r="23" spans="1:4" x14ac:dyDescent="0.25">
      <c r="A23" s="282" t="s">
        <v>61</v>
      </c>
      <c r="B23" s="282" t="s">
        <v>62</v>
      </c>
      <c r="C23" s="282" t="s">
        <v>814</v>
      </c>
      <c r="D23" s="355">
        <v>1741</v>
      </c>
    </row>
    <row r="24" spans="1:4" x14ac:dyDescent="0.25">
      <c r="A24" s="282" t="s">
        <v>63</v>
      </c>
      <c r="B24" s="282" t="s">
        <v>64</v>
      </c>
      <c r="C24" s="282" t="s">
        <v>806</v>
      </c>
      <c r="D24" s="355">
        <v>1465.5</v>
      </c>
    </row>
    <row r="25" spans="1:4" x14ac:dyDescent="0.25">
      <c r="A25" s="282" t="s">
        <v>65</v>
      </c>
      <c r="B25" s="282" t="s">
        <v>66</v>
      </c>
      <c r="C25" s="282" t="s">
        <v>816</v>
      </c>
      <c r="D25" s="355">
        <v>1741</v>
      </c>
    </row>
    <row r="26" spans="1:4" x14ac:dyDescent="0.25">
      <c r="A26" s="282" t="s">
        <v>67</v>
      </c>
      <c r="B26" s="282" t="s">
        <v>68</v>
      </c>
      <c r="C26" s="282" t="s">
        <v>810</v>
      </c>
      <c r="D26" s="355">
        <v>1465.5</v>
      </c>
    </row>
    <row r="27" spans="1:4" x14ac:dyDescent="0.25">
      <c r="A27" s="282" t="s">
        <v>69</v>
      </c>
      <c r="B27" s="282" t="s">
        <v>70</v>
      </c>
      <c r="C27" s="282" t="s">
        <v>820</v>
      </c>
      <c r="D27" s="355">
        <v>1741</v>
      </c>
    </row>
    <row r="28" spans="1:4" x14ac:dyDescent="0.25">
      <c r="A28" s="282" t="s">
        <v>71</v>
      </c>
      <c r="B28" s="282" t="s">
        <v>72</v>
      </c>
      <c r="C28" s="282" t="s">
        <v>808</v>
      </c>
      <c r="D28" s="355">
        <v>1465.5</v>
      </c>
    </row>
    <row r="29" spans="1:4" x14ac:dyDescent="0.25">
      <c r="A29" s="282" t="s">
        <v>73</v>
      </c>
      <c r="B29" s="282" t="s">
        <v>74</v>
      </c>
      <c r="C29" s="282" t="s">
        <v>818</v>
      </c>
      <c r="D29" s="355">
        <v>1741</v>
      </c>
    </row>
    <row r="30" spans="1:4" x14ac:dyDescent="0.25">
      <c r="A30" s="282" t="s">
        <v>75</v>
      </c>
      <c r="B30" s="282" t="s">
        <v>76</v>
      </c>
      <c r="C30" s="282" t="s">
        <v>1870</v>
      </c>
      <c r="D30" s="355">
        <v>1465.5</v>
      </c>
    </row>
    <row r="31" spans="1:4" x14ac:dyDescent="0.25">
      <c r="A31" s="282" t="s">
        <v>77</v>
      </c>
      <c r="B31" s="282" t="s">
        <v>78</v>
      </c>
      <c r="C31" s="282" t="s">
        <v>1876</v>
      </c>
      <c r="D31" s="355">
        <v>1741</v>
      </c>
    </row>
    <row r="32" spans="1:4" x14ac:dyDescent="0.25">
      <c r="A32" s="282" t="s">
        <v>79</v>
      </c>
      <c r="B32" s="282" t="s">
        <v>80</v>
      </c>
      <c r="C32" s="282" t="s">
        <v>1865</v>
      </c>
      <c r="D32" s="355">
        <v>1465.5</v>
      </c>
    </row>
    <row r="33" spans="1:8" x14ac:dyDescent="0.25">
      <c r="A33" s="282" t="s">
        <v>81</v>
      </c>
      <c r="B33" s="282" t="s">
        <v>82</v>
      </c>
      <c r="C33" s="282" t="s">
        <v>1872</v>
      </c>
      <c r="D33" s="355">
        <v>1741</v>
      </c>
    </row>
    <row r="34" spans="1:8" x14ac:dyDescent="0.25">
      <c r="A34" s="282" t="s">
        <v>83</v>
      </c>
      <c r="B34" s="282" t="s">
        <v>84</v>
      </c>
      <c r="C34" s="282" t="s">
        <v>1868</v>
      </c>
      <c r="D34" s="355">
        <v>1465.5</v>
      </c>
    </row>
    <row r="35" spans="1:8" x14ac:dyDescent="0.25">
      <c r="A35" s="282" t="s">
        <v>85</v>
      </c>
      <c r="B35" s="282" t="s">
        <v>86</v>
      </c>
      <c r="C35" s="282" t="s">
        <v>1874</v>
      </c>
      <c r="D35" s="355">
        <v>1741</v>
      </c>
    </row>
    <row r="36" spans="1:8" x14ac:dyDescent="0.25">
      <c r="A36" s="284" t="s">
        <v>92</v>
      </c>
      <c r="B36" s="284" t="s">
        <v>93</v>
      </c>
      <c r="C36" s="284" t="s">
        <v>1840</v>
      </c>
      <c r="D36" s="356">
        <v>668</v>
      </c>
    </row>
    <row r="37" spans="1:8" s="326" customFormat="1" x14ac:dyDescent="0.25">
      <c r="A37" s="284" t="s">
        <v>1981</v>
      </c>
      <c r="B37" s="284" t="s">
        <v>1982</v>
      </c>
      <c r="C37" s="284"/>
      <c r="D37" s="356">
        <v>37.5</v>
      </c>
    </row>
    <row r="38" spans="1:8" x14ac:dyDescent="0.25">
      <c r="A38" s="284" t="s">
        <v>1984</v>
      </c>
      <c r="B38" s="284" t="s">
        <v>89</v>
      </c>
      <c r="C38" s="284" t="s">
        <v>1799</v>
      </c>
      <c r="D38" s="356">
        <v>27.5</v>
      </c>
    </row>
    <row r="39" spans="1:8" s="326" customFormat="1" x14ac:dyDescent="0.25">
      <c r="A39" s="284" t="s">
        <v>1983</v>
      </c>
      <c r="B39" s="284" t="s">
        <v>1985</v>
      </c>
      <c r="C39" s="284"/>
      <c r="D39" s="356">
        <v>35.5</v>
      </c>
    </row>
    <row r="40" spans="1:8" s="326" customFormat="1" x14ac:dyDescent="0.25">
      <c r="A40" s="284" t="s">
        <v>1987</v>
      </c>
      <c r="B40" s="284" t="s">
        <v>1988</v>
      </c>
      <c r="C40" s="284"/>
      <c r="D40" s="356">
        <v>23</v>
      </c>
    </row>
    <row r="41" spans="1:8" s="326" customFormat="1" x14ac:dyDescent="0.25">
      <c r="A41" s="284" t="s">
        <v>1986</v>
      </c>
      <c r="B41" s="284" t="s">
        <v>1989</v>
      </c>
      <c r="C41" s="284"/>
      <c r="D41" s="356">
        <v>8</v>
      </c>
    </row>
    <row r="42" spans="1:8" s="326" customFormat="1" x14ac:dyDescent="0.25">
      <c r="A42" s="284" t="s">
        <v>1990</v>
      </c>
      <c r="B42" s="284" t="s">
        <v>1991</v>
      </c>
      <c r="C42" s="284"/>
      <c r="D42" s="356">
        <v>32.5</v>
      </c>
      <c r="H42" s="334"/>
    </row>
    <row r="43" spans="1:8" x14ac:dyDescent="0.25">
      <c r="A43" s="285" t="s">
        <v>105</v>
      </c>
      <c r="B43" s="285" t="s">
        <v>106</v>
      </c>
      <c r="C43" s="285" t="s">
        <v>876</v>
      </c>
      <c r="D43" s="357">
        <v>51232</v>
      </c>
      <c r="E43" s="326"/>
    </row>
    <row r="44" spans="1:8" x14ac:dyDescent="0.25">
      <c r="A44" s="285" t="s">
        <v>107</v>
      </c>
      <c r="B44" s="285" t="s">
        <v>108</v>
      </c>
      <c r="C44" s="285" t="s">
        <v>871</v>
      </c>
      <c r="D44" s="357">
        <v>51450</v>
      </c>
      <c r="E44" s="326"/>
      <c r="H44" s="335"/>
    </row>
    <row r="45" spans="1:8" x14ac:dyDescent="0.25">
      <c r="A45" s="285" t="s">
        <v>110</v>
      </c>
      <c r="B45" s="285" t="s">
        <v>111</v>
      </c>
      <c r="C45" s="285" t="s">
        <v>931</v>
      </c>
      <c r="D45" s="357">
        <v>53923.5</v>
      </c>
      <c r="E45" s="326"/>
    </row>
    <row r="46" spans="1:8" x14ac:dyDescent="0.25">
      <c r="A46" s="285" t="s">
        <v>112</v>
      </c>
      <c r="B46" s="285" t="s">
        <v>113</v>
      </c>
      <c r="C46" s="285" t="s">
        <v>925</v>
      </c>
      <c r="D46" s="357">
        <v>53930.5</v>
      </c>
      <c r="E46" s="326"/>
    </row>
    <row r="47" spans="1:8" x14ac:dyDescent="0.25">
      <c r="A47" s="285" t="s">
        <v>116</v>
      </c>
      <c r="B47" s="285" t="s">
        <v>117</v>
      </c>
      <c r="C47" s="285" t="s">
        <v>878</v>
      </c>
      <c r="D47" s="357">
        <v>36054.5</v>
      </c>
      <c r="E47" s="326"/>
    </row>
    <row r="48" spans="1:8" x14ac:dyDescent="0.25">
      <c r="A48" s="285" t="s">
        <v>118</v>
      </c>
      <c r="B48" s="285" t="s">
        <v>119</v>
      </c>
      <c r="C48" s="285" t="s">
        <v>873</v>
      </c>
      <c r="D48" s="357">
        <v>38650.5</v>
      </c>
      <c r="E48" s="326"/>
    </row>
    <row r="49" spans="1:5" x14ac:dyDescent="0.25">
      <c r="A49" s="285" t="s">
        <v>120</v>
      </c>
      <c r="B49" s="285" t="s">
        <v>121</v>
      </c>
      <c r="C49" s="285" t="s">
        <v>933</v>
      </c>
      <c r="D49" s="357">
        <v>38535</v>
      </c>
      <c r="E49" s="326"/>
    </row>
    <row r="50" spans="1:5" x14ac:dyDescent="0.25">
      <c r="A50" s="285" t="s">
        <v>122</v>
      </c>
      <c r="B50" s="285" t="s">
        <v>123</v>
      </c>
      <c r="C50" s="285" t="s">
        <v>928</v>
      </c>
      <c r="D50" s="357">
        <v>39798.5</v>
      </c>
      <c r="E50" s="326"/>
    </row>
    <row r="51" spans="1:5" x14ac:dyDescent="0.25">
      <c r="A51" s="285" t="s">
        <v>126</v>
      </c>
      <c r="B51" s="285" t="s">
        <v>456</v>
      </c>
      <c r="C51" s="285" t="s">
        <v>935</v>
      </c>
      <c r="D51" s="357">
        <v>27103</v>
      </c>
      <c r="E51" s="326"/>
    </row>
    <row r="52" spans="1:5" x14ac:dyDescent="0.25">
      <c r="A52" s="285" t="s">
        <v>128</v>
      </c>
      <c r="B52" s="285" t="s">
        <v>129</v>
      </c>
      <c r="C52" s="285" t="s">
        <v>986</v>
      </c>
      <c r="D52" s="357">
        <v>31186</v>
      </c>
      <c r="E52" s="326"/>
    </row>
    <row r="53" spans="1:5" x14ac:dyDescent="0.25">
      <c r="A53" s="286" t="s">
        <v>131</v>
      </c>
      <c r="B53" s="286" t="s">
        <v>1979</v>
      </c>
      <c r="C53" s="286" t="s">
        <v>1980</v>
      </c>
      <c r="D53" s="358">
        <v>2181.5</v>
      </c>
      <c r="E53" s="326"/>
    </row>
    <row r="54" spans="1:5" x14ac:dyDescent="0.25">
      <c r="A54" s="286" t="s">
        <v>133</v>
      </c>
      <c r="B54" s="286" t="s">
        <v>134</v>
      </c>
      <c r="C54" s="286" t="s">
        <v>1727</v>
      </c>
      <c r="D54" s="358">
        <v>5143</v>
      </c>
      <c r="E54" s="326"/>
    </row>
    <row r="55" spans="1:5" x14ac:dyDescent="0.25">
      <c r="A55" s="287" t="s">
        <v>136</v>
      </c>
      <c r="B55" s="287" t="s">
        <v>137</v>
      </c>
      <c r="C55" s="287" t="s">
        <v>1926</v>
      </c>
      <c r="D55" s="359">
        <v>66</v>
      </c>
      <c r="E55" s="326"/>
    </row>
    <row r="56" spans="1:5" x14ac:dyDescent="0.25">
      <c r="A56" s="287" t="s">
        <v>138</v>
      </c>
      <c r="B56" s="287" t="s">
        <v>139</v>
      </c>
      <c r="C56" s="287" t="s">
        <v>1927</v>
      </c>
      <c r="D56" s="359">
        <v>66</v>
      </c>
      <c r="E56" s="326"/>
    </row>
    <row r="57" spans="1:5" x14ac:dyDescent="0.25">
      <c r="A57" s="287" t="s">
        <v>140</v>
      </c>
      <c r="B57" s="287" t="s">
        <v>141</v>
      </c>
      <c r="C57" s="287" t="s">
        <v>1928</v>
      </c>
      <c r="D57" s="359">
        <v>66</v>
      </c>
      <c r="E57" s="326"/>
    </row>
    <row r="58" spans="1:5" x14ac:dyDescent="0.25">
      <c r="A58" s="287" t="s">
        <v>145</v>
      </c>
      <c r="B58" s="287" t="s">
        <v>146</v>
      </c>
      <c r="C58" s="287" t="s">
        <v>1930</v>
      </c>
      <c r="D58" s="359">
        <v>66</v>
      </c>
      <c r="E58" s="326"/>
    </row>
    <row r="59" spans="1:5" x14ac:dyDescent="0.25">
      <c r="A59" s="288" t="s">
        <v>150</v>
      </c>
      <c r="B59" s="288" t="s">
        <v>151</v>
      </c>
      <c r="C59" s="288" t="s">
        <v>980</v>
      </c>
      <c r="D59" s="360">
        <v>7301.5</v>
      </c>
    </row>
    <row r="60" spans="1:5" x14ac:dyDescent="0.25">
      <c r="A60" s="288" t="s">
        <v>152</v>
      </c>
      <c r="B60" s="288" t="s">
        <v>153</v>
      </c>
      <c r="C60" s="288" t="s">
        <v>997</v>
      </c>
      <c r="D60" s="360">
        <v>7524.5</v>
      </c>
    </row>
    <row r="61" spans="1:5" x14ac:dyDescent="0.25">
      <c r="A61" s="288" t="s">
        <v>155</v>
      </c>
      <c r="B61" s="288" t="s">
        <v>156</v>
      </c>
      <c r="C61" s="288" t="s">
        <v>1086</v>
      </c>
      <c r="D61" s="360">
        <v>6818</v>
      </c>
    </row>
    <row r="62" spans="1:5" x14ac:dyDescent="0.25">
      <c r="A62" s="288" t="s">
        <v>157</v>
      </c>
      <c r="B62" s="288" t="s">
        <v>158</v>
      </c>
      <c r="C62" s="288" t="s">
        <v>1089</v>
      </c>
      <c r="D62" s="360">
        <v>2737.5</v>
      </c>
    </row>
    <row r="63" spans="1:5" x14ac:dyDescent="0.25">
      <c r="A63" s="414" t="s">
        <v>1952</v>
      </c>
      <c r="B63" s="415" t="s">
        <v>412</v>
      </c>
      <c r="C63" s="415" t="s">
        <v>1250</v>
      </c>
      <c r="D63" s="416">
        <v>5873</v>
      </c>
    </row>
    <row r="64" spans="1:5" x14ac:dyDescent="0.25">
      <c r="A64" s="417" t="s">
        <v>1388</v>
      </c>
      <c r="B64" s="418" t="s">
        <v>1387</v>
      </c>
      <c r="C64" s="418" t="s">
        <v>1387</v>
      </c>
      <c r="D64" s="419">
        <v>5209.5</v>
      </c>
    </row>
    <row r="65" spans="1:12" x14ac:dyDescent="0.25">
      <c r="A65" s="420" t="s">
        <v>1275</v>
      </c>
      <c r="B65" s="421" t="s">
        <v>1273</v>
      </c>
      <c r="C65" s="421" t="s">
        <v>1273</v>
      </c>
      <c r="D65" s="422">
        <v>2464</v>
      </c>
      <c r="F65" s="333"/>
    </row>
    <row r="66" spans="1:12" x14ac:dyDescent="0.25">
      <c r="A66" s="288" t="s">
        <v>168</v>
      </c>
      <c r="B66" s="288" t="s">
        <v>169</v>
      </c>
      <c r="C66" s="288" t="s">
        <v>1206</v>
      </c>
      <c r="D66" s="360">
        <v>7576.5</v>
      </c>
      <c r="F66" s="333"/>
    </row>
    <row r="67" spans="1:12" x14ac:dyDescent="0.25">
      <c r="A67" s="288" t="s">
        <v>170</v>
      </c>
      <c r="B67" s="288" t="s">
        <v>171</v>
      </c>
      <c r="C67" s="288" t="s">
        <v>1951</v>
      </c>
      <c r="D67" s="360">
        <v>1794</v>
      </c>
      <c r="F67" s="333"/>
    </row>
    <row r="68" spans="1:12" x14ac:dyDescent="0.25">
      <c r="A68" s="288" t="s">
        <v>162</v>
      </c>
      <c r="B68" s="288" t="s">
        <v>163</v>
      </c>
      <c r="C68" s="288" t="s">
        <v>1078</v>
      </c>
      <c r="D68" s="360">
        <v>7576.5</v>
      </c>
      <c r="J68" s="329"/>
      <c r="K68" s="329"/>
      <c r="L68" s="330"/>
    </row>
    <row r="69" spans="1:12" x14ac:dyDescent="0.25">
      <c r="A69" s="288" t="s">
        <v>164</v>
      </c>
      <c r="B69" s="288" t="s">
        <v>165</v>
      </c>
      <c r="C69" s="288" t="s">
        <v>1023</v>
      </c>
      <c r="D69" s="360">
        <v>1794</v>
      </c>
      <c r="J69" s="329"/>
      <c r="K69" s="329"/>
      <c r="L69" s="330"/>
    </row>
    <row r="70" spans="1:12" x14ac:dyDescent="0.25">
      <c r="A70" s="288" t="s">
        <v>166</v>
      </c>
      <c r="B70" s="288" t="s">
        <v>167</v>
      </c>
      <c r="C70" s="288" t="s">
        <v>1106</v>
      </c>
      <c r="D70" s="360">
        <v>2792.5</v>
      </c>
      <c r="J70" s="329"/>
      <c r="K70" s="329"/>
      <c r="L70" s="330"/>
    </row>
    <row r="71" spans="1:12" x14ac:dyDescent="0.25">
      <c r="A71" s="288" t="s">
        <v>172</v>
      </c>
      <c r="B71" s="288" t="s">
        <v>173</v>
      </c>
      <c r="C71" s="288" t="s">
        <v>1185</v>
      </c>
      <c r="D71" s="360">
        <v>177.5</v>
      </c>
      <c r="J71" s="329"/>
      <c r="K71" s="329"/>
      <c r="L71" s="330"/>
    </row>
    <row r="72" spans="1:12" x14ac:dyDescent="0.25">
      <c r="A72" s="288" t="s">
        <v>174</v>
      </c>
      <c r="B72" s="288" t="s">
        <v>175</v>
      </c>
      <c r="C72" s="288" t="s">
        <v>1183</v>
      </c>
      <c r="D72" s="360">
        <v>151</v>
      </c>
      <c r="J72" s="329"/>
      <c r="K72" s="329"/>
      <c r="L72" s="330"/>
    </row>
    <row r="73" spans="1:12" x14ac:dyDescent="0.25">
      <c r="A73" s="288" t="s">
        <v>176</v>
      </c>
      <c r="B73" s="288" t="s">
        <v>177</v>
      </c>
      <c r="C73" s="288" t="s">
        <v>1116</v>
      </c>
      <c r="D73" s="360">
        <v>898</v>
      </c>
    </row>
    <row r="74" spans="1:12" x14ac:dyDescent="0.25">
      <c r="A74" s="288" t="s">
        <v>178</v>
      </c>
      <c r="B74" s="288" t="s">
        <v>179</v>
      </c>
      <c r="C74" s="288" t="s">
        <v>1014</v>
      </c>
      <c r="D74" s="360">
        <v>898</v>
      </c>
    </row>
    <row r="75" spans="1:12" x14ac:dyDescent="0.25">
      <c r="A75" s="288" t="s">
        <v>180</v>
      </c>
      <c r="B75" s="288" t="s">
        <v>181</v>
      </c>
      <c r="C75" s="288" t="s">
        <v>1019</v>
      </c>
      <c r="D75" s="360">
        <v>7657</v>
      </c>
    </row>
    <row r="76" spans="1:12" x14ac:dyDescent="0.25">
      <c r="A76" s="288" t="s">
        <v>188</v>
      </c>
      <c r="B76" s="288" t="s">
        <v>189</v>
      </c>
      <c r="C76" s="288" t="s">
        <v>1098</v>
      </c>
      <c r="D76" s="360">
        <v>2272</v>
      </c>
    </row>
    <row r="77" spans="1:12" x14ac:dyDescent="0.25">
      <c r="A77" s="288" t="s">
        <v>190</v>
      </c>
      <c r="B77" s="288" t="s">
        <v>191</v>
      </c>
      <c r="C77" s="288" t="s">
        <v>1104</v>
      </c>
      <c r="D77" s="360">
        <v>3370</v>
      </c>
    </row>
    <row r="78" spans="1:12" x14ac:dyDescent="0.25">
      <c r="A78" s="288" t="s">
        <v>192</v>
      </c>
      <c r="B78" s="288" t="s">
        <v>193</v>
      </c>
      <c r="C78" s="288" t="s">
        <v>1091</v>
      </c>
      <c r="D78" s="360">
        <v>3866</v>
      </c>
    </row>
    <row r="79" spans="1:12" x14ac:dyDescent="0.25">
      <c r="A79" s="288" t="s">
        <v>195</v>
      </c>
      <c r="B79" s="288" t="s">
        <v>196</v>
      </c>
      <c r="C79" s="288" t="s">
        <v>1674</v>
      </c>
      <c r="D79" s="360">
        <v>4030</v>
      </c>
    </row>
    <row r="80" spans="1:12" x14ac:dyDescent="0.25">
      <c r="A80" s="288" t="s">
        <v>197</v>
      </c>
      <c r="B80" s="288" t="s">
        <v>198</v>
      </c>
      <c r="C80" s="288" t="s">
        <v>1677</v>
      </c>
      <c r="D80" s="360">
        <v>4963</v>
      </c>
    </row>
    <row r="81" spans="1:10" x14ac:dyDescent="0.25">
      <c r="A81" s="288" t="s">
        <v>200</v>
      </c>
      <c r="B81" s="288" t="s">
        <v>201</v>
      </c>
      <c r="C81" s="288" t="s">
        <v>1919</v>
      </c>
      <c r="D81" s="360">
        <v>572.5</v>
      </c>
      <c r="E81" s="244"/>
      <c r="H81" s="244"/>
      <c r="I81" s="244"/>
      <c r="J81" s="244"/>
    </row>
    <row r="82" spans="1:10" x14ac:dyDescent="0.25">
      <c r="A82" s="289" t="s">
        <v>1955</v>
      </c>
      <c r="B82" s="289" t="s">
        <v>206</v>
      </c>
      <c r="C82" s="289" t="s">
        <v>1046</v>
      </c>
      <c r="D82" s="361">
        <v>6371</v>
      </c>
    </row>
    <row r="83" spans="1:10" x14ac:dyDescent="0.25">
      <c r="A83" s="289" t="s">
        <v>1956</v>
      </c>
      <c r="B83" s="289" t="s">
        <v>208</v>
      </c>
      <c r="C83" s="289" t="s">
        <v>1050</v>
      </c>
      <c r="D83" s="361">
        <v>8857</v>
      </c>
    </row>
    <row r="84" spans="1:10" x14ac:dyDescent="0.25">
      <c r="A84" s="289" t="s">
        <v>1957</v>
      </c>
      <c r="B84" s="289" t="s">
        <v>210</v>
      </c>
      <c r="C84" s="289" t="s">
        <v>1044</v>
      </c>
      <c r="D84" s="361">
        <v>10838.5</v>
      </c>
    </row>
    <row r="85" spans="1:10" x14ac:dyDescent="0.25">
      <c r="A85" s="290" t="s">
        <v>1958</v>
      </c>
      <c r="B85" s="290" t="s">
        <v>220</v>
      </c>
      <c r="C85" s="290" t="s">
        <v>1303</v>
      </c>
      <c r="D85" s="362">
        <v>2480</v>
      </c>
    </row>
    <row r="86" spans="1:10" x14ac:dyDescent="0.25">
      <c r="A86" s="290" t="s">
        <v>221</v>
      </c>
      <c r="B86" s="290" t="s">
        <v>222</v>
      </c>
      <c r="C86" s="290" t="s">
        <v>1309</v>
      </c>
      <c r="D86" s="362">
        <v>6121</v>
      </c>
    </row>
    <row r="87" spans="1:10" x14ac:dyDescent="0.25">
      <c r="A87" s="290" t="s">
        <v>223</v>
      </c>
      <c r="B87" s="290" t="s">
        <v>224</v>
      </c>
      <c r="C87" s="290" t="s">
        <v>1341</v>
      </c>
      <c r="D87" s="362">
        <v>367.5</v>
      </c>
    </row>
    <row r="88" spans="1:10" x14ac:dyDescent="0.25">
      <c r="A88" s="290" t="s">
        <v>225</v>
      </c>
      <c r="B88" s="290" t="s">
        <v>226</v>
      </c>
      <c r="C88" s="290" t="s">
        <v>1311</v>
      </c>
      <c r="D88" s="362">
        <v>13673</v>
      </c>
    </row>
    <row r="89" spans="1:10" x14ac:dyDescent="0.25">
      <c r="A89" s="291" t="s">
        <v>1959</v>
      </c>
      <c r="B89" s="291" t="s">
        <v>1960</v>
      </c>
      <c r="C89" s="292" t="s">
        <v>1961</v>
      </c>
      <c r="D89" s="362">
        <v>26017</v>
      </c>
    </row>
    <row r="90" spans="1:10" x14ac:dyDescent="0.25">
      <c r="A90" s="290" t="s">
        <v>227</v>
      </c>
      <c r="B90" s="290" t="s">
        <v>228</v>
      </c>
      <c r="C90" s="290" t="s">
        <v>1317</v>
      </c>
      <c r="D90" s="362">
        <v>15585.5</v>
      </c>
    </row>
    <row r="91" spans="1:10" x14ac:dyDescent="0.25">
      <c r="A91" s="290" t="s">
        <v>229</v>
      </c>
      <c r="B91" s="290" t="s">
        <v>230</v>
      </c>
      <c r="C91" s="290" t="s">
        <v>1319</v>
      </c>
      <c r="D91" s="362">
        <v>74937.5</v>
      </c>
    </row>
    <row r="92" spans="1:10" x14ac:dyDescent="0.25">
      <c r="A92" s="290" t="s">
        <v>231</v>
      </c>
      <c r="B92" s="290" t="s">
        <v>232</v>
      </c>
      <c r="C92" s="290" t="s">
        <v>1321</v>
      </c>
      <c r="D92" s="362">
        <v>19046.5</v>
      </c>
    </row>
    <row r="93" spans="1:10" x14ac:dyDescent="0.25">
      <c r="A93" s="290" t="s">
        <v>233</v>
      </c>
      <c r="B93" s="290" t="s">
        <v>234</v>
      </c>
      <c r="C93" s="290" t="s">
        <v>1323</v>
      </c>
      <c r="D93" s="362">
        <v>22760.5</v>
      </c>
    </row>
    <row r="94" spans="1:10" x14ac:dyDescent="0.25">
      <c r="A94" s="290" t="s">
        <v>235</v>
      </c>
      <c r="B94" s="290" t="s">
        <v>236</v>
      </c>
      <c r="C94" s="290" t="s">
        <v>1327</v>
      </c>
      <c r="D94" s="362">
        <v>25837.5</v>
      </c>
    </row>
    <row r="95" spans="1:10" x14ac:dyDescent="0.25">
      <c r="A95" s="290" t="s">
        <v>237</v>
      </c>
      <c r="B95" s="290" t="s">
        <v>238</v>
      </c>
      <c r="C95" s="290" t="s">
        <v>1329</v>
      </c>
      <c r="D95" s="362">
        <v>28478.5</v>
      </c>
    </row>
    <row r="96" spans="1:10" x14ac:dyDescent="0.25">
      <c r="A96" s="290" t="s">
        <v>239</v>
      </c>
      <c r="B96" s="290" t="s">
        <v>240</v>
      </c>
      <c r="C96" s="290" t="s">
        <v>1331</v>
      </c>
      <c r="D96" s="362">
        <v>38013.5</v>
      </c>
    </row>
    <row r="97" spans="1:4" x14ac:dyDescent="0.25">
      <c r="A97" s="290" t="s">
        <v>241</v>
      </c>
      <c r="B97" s="290" t="s">
        <v>242</v>
      </c>
      <c r="C97" s="290" t="s">
        <v>1920</v>
      </c>
      <c r="D97" s="362">
        <v>709</v>
      </c>
    </row>
    <row r="98" spans="1:4" x14ac:dyDescent="0.25">
      <c r="A98" s="290" t="s">
        <v>244</v>
      </c>
      <c r="B98" s="290" t="s">
        <v>245</v>
      </c>
      <c r="C98" s="290" t="s">
        <v>1921</v>
      </c>
      <c r="D98" s="362">
        <v>2222</v>
      </c>
    </row>
    <row r="99" spans="1:4" x14ac:dyDescent="0.25">
      <c r="A99" s="290" t="s">
        <v>246</v>
      </c>
      <c r="B99" s="290" t="s">
        <v>247</v>
      </c>
      <c r="C99" s="290" t="s">
        <v>1880</v>
      </c>
      <c r="D99" s="362">
        <v>1032</v>
      </c>
    </row>
    <row r="100" spans="1:4" x14ac:dyDescent="0.25">
      <c r="A100" s="363" t="s">
        <v>1285</v>
      </c>
      <c r="B100" s="364" t="s">
        <v>1297</v>
      </c>
      <c r="C100" s="364" t="s">
        <v>1284</v>
      </c>
      <c r="D100" s="365">
        <v>33244.5</v>
      </c>
    </row>
    <row r="101" spans="1:4" x14ac:dyDescent="0.25">
      <c r="A101" s="366" t="s">
        <v>1300</v>
      </c>
      <c r="B101" s="290" t="s">
        <v>1297</v>
      </c>
      <c r="C101" s="290" t="s">
        <v>1299</v>
      </c>
      <c r="D101" s="367">
        <v>39076</v>
      </c>
    </row>
    <row r="102" spans="1:4" x14ac:dyDescent="0.25">
      <c r="A102" s="366" t="s">
        <v>1289</v>
      </c>
      <c r="B102" s="290" t="s">
        <v>1297</v>
      </c>
      <c r="C102" s="290" t="s">
        <v>1288</v>
      </c>
      <c r="D102" s="367">
        <v>48170</v>
      </c>
    </row>
    <row r="103" spans="1:4" x14ac:dyDescent="0.25">
      <c r="A103" s="366" t="s">
        <v>1292</v>
      </c>
      <c r="B103" s="290" t="s">
        <v>1291</v>
      </c>
      <c r="C103" s="290" t="s">
        <v>1290</v>
      </c>
      <c r="D103" s="367">
        <v>39381.5</v>
      </c>
    </row>
    <row r="104" spans="1:4" x14ac:dyDescent="0.25">
      <c r="A104" s="366" t="s">
        <v>1296</v>
      </c>
      <c r="B104" s="290" t="s">
        <v>1297</v>
      </c>
      <c r="C104" s="290" t="s">
        <v>1295</v>
      </c>
      <c r="D104" s="367">
        <v>57134</v>
      </c>
    </row>
    <row r="105" spans="1:4" x14ac:dyDescent="0.25">
      <c r="A105" s="368" t="s">
        <v>1298</v>
      </c>
      <c r="B105" s="369" t="s">
        <v>1297</v>
      </c>
      <c r="C105" s="369" t="s">
        <v>1297</v>
      </c>
      <c r="D105" s="370">
        <v>62405</v>
      </c>
    </row>
    <row r="106" spans="1:4" x14ac:dyDescent="0.25">
      <c r="A106" s="293" t="s">
        <v>1993</v>
      </c>
      <c r="B106" s="293" t="s">
        <v>267</v>
      </c>
      <c r="C106" s="293" t="s">
        <v>1768</v>
      </c>
      <c r="D106" s="371">
        <v>38.5</v>
      </c>
    </row>
    <row r="107" spans="1:4" x14ac:dyDescent="0.25">
      <c r="A107" s="293" t="s">
        <v>1992</v>
      </c>
      <c r="B107" s="293" t="s">
        <v>1994</v>
      </c>
      <c r="C107" s="293"/>
      <c r="D107" s="371">
        <v>16.5</v>
      </c>
    </row>
    <row r="108" spans="1:4" x14ac:dyDescent="0.25">
      <c r="A108" s="293" t="s">
        <v>1995</v>
      </c>
      <c r="B108" s="293" t="s">
        <v>269</v>
      </c>
      <c r="C108" s="293" t="s">
        <v>1771</v>
      </c>
      <c r="D108" s="371">
        <v>38.5</v>
      </c>
    </row>
    <row r="109" spans="1:4" x14ac:dyDescent="0.25">
      <c r="A109" s="293" t="s">
        <v>1996</v>
      </c>
      <c r="B109" s="293" t="s">
        <v>1997</v>
      </c>
      <c r="C109" s="293"/>
      <c r="D109" s="371">
        <v>12</v>
      </c>
    </row>
    <row r="110" spans="1:4" x14ac:dyDescent="0.25">
      <c r="A110" s="293" t="s">
        <v>272</v>
      </c>
      <c r="B110" s="293" t="s">
        <v>273</v>
      </c>
      <c r="C110" s="293" t="s">
        <v>1852</v>
      </c>
      <c r="D110" s="371">
        <v>219</v>
      </c>
    </row>
    <row r="111" spans="1:4" x14ac:dyDescent="0.25">
      <c r="A111" s="293" t="s">
        <v>274</v>
      </c>
      <c r="B111" s="293" t="s">
        <v>275</v>
      </c>
      <c r="C111" s="293" t="s">
        <v>1810</v>
      </c>
      <c r="D111" s="371">
        <v>624.5</v>
      </c>
    </row>
    <row r="112" spans="1:4" x14ac:dyDescent="0.25">
      <c r="A112" s="293" t="s">
        <v>276</v>
      </c>
      <c r="B112" s="293" t="s">
        <v>277</v>
      </c>
      <c r="C112" s="293" t="s">
        <v>1829</v>
      </c>
      <c r="D112" s="371">
        <v>573</v>
      </c>
    </row>
    <row r="113" spans="1:4" x14ac:dyDescent="0.25">
      <c r="A113" s="293" t="s">
        <v>278</v>
      </c>
      <c r="B113" s="293" t="s">
        <v>279</v>
      </c>
      <c r="C113" s="293" t="s">
        <v>1670</v>
      </c>
      <c r="D113" s="371">
        <v>375</v>
      </c>
    </row>
    <row r="114" spans="1:4" x14ac:dyDescent="0.25">
      <c r="A114" s="293" t="s">
        <v>280</v>
      </c>
      <c r="B114" s="293" t="s">
        <v>281</v>
      </c>
      <c r="C114" s="293" t="s">
        <v>1663</v>
      </c>
      <c r="D114" s="371">
        <v>128</v>
      </c>
    </row>
    <row r="115" spans="1:4" x14ac:dyDescent="0.25">
      <c r="A115" s="293" t="s">
        <v>282</v>
      </c>
      <c r="B115" s="293" t="s">
        <v>283</v>
      </c>
      <c r="C115" s="293" t="s">
        <v>1672</v>
      </c>
      <c r="D115" s="371">
        <v>191</v>
      </c>
    </row>
    <row r="116" spans="1:4" x14ac:dyDescent="0.25">
      <c r="A116" s="293" t="s">
        <v>284</v>
      </c>
      <c r="B116" s="293" t="s">
        <v>285</v>
      </c>
      <c r="C116" s="293" t="s">
        <v>1658</v>
      </c>
      <c r="D116" s="371">
        <v>105</v>
      </c>
    </row>
    <row r="117" spans="1:4" x14ac:dyDescent="0.25">
      <c r="A117" s="293" t="s">
        <v>286</v>
      </c>
      <c r="B117" s="293" t="s">
        <v>287</v>
      </c>
      <c r="C117" s="293" t="s">
        <v>1846</v>
      </c>
      <c r="D117" s="371">
        <v>499</v>
      </c>
    </row>
    <row r="118" spans="1:4" x14ac:dyDescent="0.25">
      <c r="A118" s="293" t="s">
        <v>288</v>
      </c>
      <c r="B118" s="293" t="s">
        <v>289</v>
      </c>
      <c r="C118" s="293" t="s">
        <v>1900</v>
      </c>
      <c r="D118" s="371">
        <v>24.5</v>
      </c>
    </row>
    <row r="119" spans="1:4" x14ac:dyDescent="0.25">
      <c r="A119" s="293" t="s">
        <v>290</v>
      </c>
      <c r="B119" s="293" t="s">
        <v>291</v>
      </c>
      <c r="C119" s="293" t="s">
        <v>1854</v>
      </c>
      <c r="D119" s="371">
        <v>13.5</v>
      </c>
    </row>
    <row r="120" spans="1:4" x14ac:dyDescent="0.25">
      <c r="A120" s="293" t="s">
        <v>292</v>
      </c>
      <c r="B120" s="293" t="s">
        <v>293</v>
      </c>
      <c r="C120" s="293" t="s">
        <v>1011</v>
      </c>
      <c r="D120" s="371">
        <v>6410.5</v>
      </c>
    </row>
    <row r="121" spans="1:4" x14ac:dyDescent="0.25">
      <c r="A121" s="293" t="s">
        <v>294</v>
      </c>
      <c r="B121" s="293" t="s">
        <v>295</v>
      </c>
      <c r="C121" s="293" t="s">
        <v>1668</v>
      </c>
      <c r="D121" s="371">
        <v>300</v>
      </c>
    </row>
    <row r="122" spans="1:4" x14ac:dyDescent="0.25">
      <c r="A122" s="293" t="s">
        <v>296</v>
      </c>
      <c r="B122" s="293" t="s">
        <v>297</v>
      </c>
      <c r="C122" s="293" t="s">
        <v>1631</v>
      </c>
      <c r="D122" s="371">
        <v>31</v>
      </c>
    </row>
    <row r="123" spans="1:4" x14ac:dyDescent="0.25">
      <c r="A123" s="293" t="s">
        <v>298</v>
      </c>
      <c r="B123" s="293" t="s">
        <v>299</v>
      </c>
      <c r="C123" s="293" t="s">
        <v>1623</v>
      </c>
      <c r="D123" s="371">
        <v>868</v>
      </c>
    </row>
    <row r="124" spans="1:4" x14ac:dyDescent="0.25">
      <c r="A124" s="293" t="s">
        <v>300</v>
      </c>
      <c r="B124" s="293" t="s">
        <v>301</v>
      </c>
      <c r="C124" s="293" t="s">
        <v>1609</v>
      </c>
      <c r="D124" s="371">
        <v>1857</v>
      </c>
    </row>
    <row r="125" spans="1:4" x14ac:dyDescent="0.25">
      <c r="A125" s="293" t="s">
        <v>302</v>
      </c>
      <c r="B125" s="293" t="s">
        <v>303</v>
      </c>
      <c r="C125" s="293" t="s">
        <v>1722</v>
      </c>
      <c r="D125" s="371">
        <v>8</v>
      </c>
    </row>
    <row r="126" spans="1:4" x14ac:dyDescent="0.25">
      <c r="A126" s="293" t="s">
        <v>304</v>
      </c>
      <c r="B126" s="293" t="s">
        <v>305</v>
      </c>
      <c r="C126" s="293" t="s">
        <v>1545</v>
      </c>
      <c r="D126" s="371">
        <v>649.5</v>
      </c>
    </row>
    <row r="127" spans="1:4" x14ac:dyDescent="0.25">
      <c r="A127" s="293" t="s">
        <v>306</v>
      </c>
      <c r="B127" s="293" t="s">
        <v>307</v>
      </c>
      <c r="C127" s="293" t="s">
        <v>1878</v>
      </c>
      <c r="D127" s="371">
        <v>8</v>
      </c>
    </row>
    <row r="128" spans="1:4" x14ac:dyDescent="0.25">
      <c r="A128" s="293" t="s">
        <v>212</v>
      </c>
      <c r="B128" s="293" t="s">
        <v>213</v>
      </c>
      <c r="C128" s="293" t="s">
        <v>1856</v>
      </c>
      <c r="D128" s="371">
        <v>1001.5</v>
      </c>
    </row>
    <row r="129" spans="1:4" x14ac:dyDescent="0.25">
      <c r="A129" s="293" t="s">
        <v>214</v>
      </c>
      <c r="B129" s="293" t="s">
        <v>215</v>
      </c>
      <c r="C129" s="293" t="s">
        <v>1861</v>
      </c>
      <c r="D129" s="371">
        <v>1881.5</v>
      </c>
    </row>
    <row r="130" spans="1:4" x14ac:dyDescent="0.25">
      <c r="A130" s="293" t="s">
        <v>216</v>
      </c>
      <c r="B130" s="293" t="s">
        <v>217</v>
      </c>
      <c r="C130" s="293" t="s">
        <v>1863</v>
      </c>
      <c r="D130" s="371">
        <v>2682.5</v>
      </c>
    </row>
    <row r="131" spans="1:4" x14ac:dyDescent="0.25">
      <c r="A131" s="294" t="s">
        <v>249</v>
      </c>
      <c r="B131" s="294" t="s">
        <v>250</v>
      </c>
      <c r="C131" s="294" t="s">
        <v>1910</v>
      </c>
      <c r="D131" s="372">
        <v>121.5</v>
      </c>
    </row>
    <row r="132" spans="1:4" x14ac:dyDescent="0.25">
      <c r="A132" s="294" t="s">
        <v>251</v>
      </c>
      <c r="B132" s="294" t="s">
        <v>252</v>
      </c>
      <c r="C132" s="294" t="s">
        <v>1912</v>
      </c>
      <c r="D132" s="372">
        <v>121.5</v>
      </c>
    </row>
    <row r="133" spans="1:4" x14ac:dyDescent="0.25">
      <c r="A133" s="294" t="s">
        <v>253</v>
      </c>
      <c r="B133" s="294" t="s">
        <v>254</v>
      </c>
      <c r="C133" s="294" t="s">
        <v>1922</v>
      </c>
      <c r="D133" s="372">
        <v>121.5</v>
      </c>
    </row>
    <row r="134" spans="1:4" x14ac:dyDescent="0.25">
      <c r="A134" s="294" t="s">
        <v>255</v>
      </c>
      <c r="B134" s="294" t="s">
        <v>256</v>
      </c>
      <c r="C134" s="294" t="s">
        <v>1923</v>
      </c>
      <c r="D134" s="372">
        <v>66</v>
      </c>
    </row>
    <row r="135" spans="1:4" x14ac:dyDescent="0.25">
      <c r="A135" s="294" t="s">
        <v>257</v>
      </c>
      <c r="B135" s="294" t="s">
        <v>258</v>
      </c>
      <c r="C135" s="294" t="s">
        <v>1907</v>
      </c>
      <c r="D135" s="372">
        <v>66</v>
      </c>
    </row>
    <row r="136" spans="1:4" x14ac:dyDescent="0.25">
      <c r="A136" s="294" t="s">
        <v>259</v>
      </c>
      <c r="B136" s="294" t="s">
        <v>260</v>
      </c>
      <c r="C136" s="294" t="s">
        <v>1914</v>
      </c>
      <c r="D136" s="372">
        <v>175.5</v>
      </c>
    </row>
    <row r="137" spans="1:4" x14ac:dyDescent="0.25">
      <c r="A137" s="294" t="s">
        <v>261</v>
      </c>
      <c r="B137" s="294" t="s">
        <v>262</v>
      </c>
      <c r="C137" s="294" t="s">
        <v>1925</v>
      </c>
      <c r="D137" s="372">
        <v>66</v>
      </c>
    </row>
    <row r="138" spans="1:4" x14ac:dyDescent="0.25">
      <c r="A138" s="294" t="s">
        <v>263</v>
      </c>
      <c r="B138" s="294" t="s">
        <v>264</v>
      </c>
      <c r="C138" s="294" t="s">
        <v>1924</v>
      </c>
      <c r="D138" s="372">
        <v>66</v>
      </c>
    </row>
    <row r="139" spans="1:4" x14ac:dyDescent="0.25">
      <c r="A139" s="295" t="s">
        <v>309</v>
      </c>
      <c r="B139" s="295" t="s">
        <v>310</v>
      </c>
      <c r="C139" s="295" t="s">
        <v>834</v>
      </c>
      <c r="D139" s="373">
        <v>6439.5</v>
      </c>
    </row>
    <row r="140" spans="1:4" x14ac:dyDescent="0.25">
      <c r="A140" s="295" t="s">
        <v>311</v>
      </c>
      <c r="B140" s="295" t="s">
        <v>312</v>
      </c>
      <c r="C140" s="295" t="s">
        <v>843</v>
      </c>
      <c r="D140" s="373">
        <v>6439.5</v>
      </c>
    </row>
    <row r="141" spans="1:4" x14ac:dyDescent="0.25">
      <c r="A141" s="374" t="s">
        <v>143</v>
      </c>
      <c r="B141" s="375" t="s">
        <v>144</v>
      </c>
      <c r="C141" s="375" t="s">
        <v>1929</v>
      </c>
      <c r="D141" s="376">
        <v>66</v>
      </c>
    </row>
    <row r="142" spans="1:4" x14ac:dyDescent="0.25">
      <c r="A142" s="377" t="s">
        <v>320</v>
      </c>
      <c r="B142" s="296" t="s">
        <v>321</v>
      </c>
      <c r="C142" s="296" t="s">
        <v>1999</v>
      </c>
      <c r="D142" s="378">
        <v>32248</v>
      </c>
    </row>
    <row r="143" spans="1:4" x14ac:dyDescent="0.25">
      <c r="A143" s="377" t="s">
        <v>322</v>
      </c>
      <c r="B143" s="296" t="s">
        <v>323</v>
      </c>
      <c r="C143" s="296" t="s">
        <v>1313</v>
      </c>
      <c r="D143" s="378">
        <v>32238</v>
      </c>
    </row>
    <row r="144" spans="1:4" x14ac:dyDescent="0.25">
      <c r="A144" s="377" t="s">
        <v>324</v>
      </c>
      <c r="B144" s="296" t="s">
        <v>325</v>
      </c>
      <c r="C144" s="296" t="s">
        <v>1938</v>
      </c>
      <c r="D144" s="378">
        <v>32278.5</v>
      </c>
    </row>
    <row r="145" spans="1:4" x14ac:dyDescent="0.25">
      <c r="A145" s="377" t="s">
        <v>326</v>
      </c>
      <c r="B145" s="296" t="s">
        <v>327</v>
      </c>
      <c r="C145" s="296" t="s">
        <v>1939</v>
      </c>
      <c r="D145" s="378">
        <v>32268.5</v>
      </c>
    </row>
    <row r="146" spans="1:4" x14ac:dyDescent="0.25">
      <c r="A146" s="377" t="s">
        <v>328</v>
      </c>
      <c r="B146" s="296" t="s">
        <v>329</v>
      </c>
      <c r="C146" s="296" t="s">
        <v>1954</v>
      </c>
      <c r="D146" s="378">
        <v>33598.5</v>
      </c>
    </row>
    <row r="147" spans="1:4" x14ac:dyDescent="0.25">
      <c r="A147" s="377" t="s">
        <v>330</v>
      </c>
      <c r="B147" s="296" t="s">
        <v>331</v>
      </c>
      <c r="C147" s="296" t="s">
        <v>1953</v>
      </c>
      <c r="D147" s="378">
        <v>33588.5</v>
      </c>
    </row>
    <row r="148" spans="1:4" x14ac:dyDescent="0.25">
      <c r="A148" s="377" t="s">
        <v>332</v>
      </c>
      <c r="B148" s="296" t="s">
        <v>333</v>
      </c>
      <c r="C148" s="296" t="s">
        <v>1942</v>
      </c>
      <c r="D148" s="378">
        <v>33578</v>
      </c>
    </row>
    <row r="149" spans="1:4" x14ac:dyDescent="0.25">
      <c r="A149" s="377" t="s">
        <v>334</v>
      </c>
      <c r="B149" s="296" t="s">
        <v>335</v>
      </c>
      <c r="C149" s="296" t="s">
        <v>1943</v>
      </c>
      <c r="D149" s="378">
        <v>33568</v>
      </c>
    </row>
    <row r="150" spans="1:4" x14ac:dyDescent="0.25">
      <c r="A150" s="377" t="s">
        <v>1932</v>
      </c>
      <c r="B150" s="296" t="s">
        <v>579</v>
      </c>
      <c r="C150" s="296" t="s">
        <v>1946</v>
      </c>
      <c r="D150" s="378">
        <v>2</v>
      </c>
    </row>
    <row r="151" spans="1:4" x14ac:dyDescent="0.25">
      <c r="A151" s="377" t="s">
        <v>1933</v>
      </c>
      <c r="B151" s="296" t="s">
        <v>1935</v>
      </c>
      <c r="C151" s="296" t="s">
        <v>1944</v>
      </c>
      <c r="D151" s="378">
        <v>2</v>
      </c>
    </row>
    <row r="152" spans="1:4" x14ac:dyDescent="0.25">
      <c r="A152" s="377" t="s">
        <v>1934</v>
      </c>
      <c r="B152" s="296" t="s">
        <v>1937</v>
      </c>
      <c r="C152" s="296" t="s">
        <v>1950</v>
      </c>
      <c r="D152" s="378">
        <v>225</v>
      </c>
    </row>
    <row r="153" spans="1:4" x14ac:dyDescent="0.25">
      <c r="A153" s="379" t="s">
        <v>1931</v>
      </c>
      <c r="B153" s="380" t="s">
        <v>1936</v>
      </c>
      <c r="C153" s="380" t="s">
        <v>1945</v>
      </c>
      <c r="D153" s="381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9AE75-6654-4916-8C6D-86438165E0AC}">
  <dimension ref="A1:L153"/>
  <sheetViews>
    <sheetView topLeftCell="A48" zoomScaleNormal="100" workbookViewId="0">
      <selection activeCell="C66" sqref="C66"/>
    </sheetView>
  </sheetViews>
  <sheetFormatPr defaultRowHeight="15" x14ac:dyDescent="0.25"/>
  <cols>
    <col min="1" max="1" width="68" style="297" bestFit="1" customWidth="1"/>
    <col min="2" max="2" width="18.28515625" style="297" bestFit="1" customWidth="1"/>
    <col min="3" max="3" width="20.28515625" style="297" bestFit="1" customWidth="1"/>
    <col min="4" max="4" width="9.140625" style="382"/>
  </cols>
  <sheetData>
    <row r="1" spans="1:4" x14ac:dyDescent="0.25">
      <c r="A1" s="279" t="s">
        <v>17</v>
      </c>
      <c r="B1" s="279" t="s">
        <v>18</v>
      </c>
      <c r="C1" s="279" t="s">
        <v>702</v>
      </c>
      <c r="D1" s="354">
        <v>3340.5</v>
      </c>
    </row>
    <row r="2" spans="1:4" x14ac:dyDescent="0.25">
      <c r="A2" s="279" t="s">
        <v>19</v>
      </c>
      <c r="B2" s="279" t="s">
        <v>20</v>
      </c>
      <c r="C2" s="279" t="s">
        <v>709</v>
      </c>
      <c r="D2" s="354">
        <v>3215</v>
      </c>
    </row>
    <row r="3" spans="1:4" x14ac:dyDescent="0.25">
      <c r="A3" s="279" t="s">
        <v>1962</v>
      </c>
      <c r="B3" s="279" t="s">
        <v>1963</v>
      </c>
      <c r="C3" s="279" t="s">
        <v>1972</v>
      </c>
      <c r="D3" s="354">
        <v>3215</v>
      </c>
    </row>
    <row r="4" spans="1:4" x14ac:dyDescent="0.25">
      <c r="A4" s="279" t="s">
        <v>1964</v>
      </c>
      <c r="B4" s="279" t="s">
        <v>1965</v>
      </c>
      <c r="C4" s="279" t="s">
        <v>1973</v>
      </c>
      <c r="D4" s="354">
        <v>3215</v>
      </c>
    </row>
    <row r="5" spans="1:4" x14ac:dyDescent="0.25">
      <c r="A5" s="279" t="s">
        <v>24</v>
      </c>
      <c r="B5" s="279" t="s">
        <v>25</v>
      </c>
      <c r="C5" s="279" t="s">
        <v>732</v>
      </c>
      <c r="D5" s="354">
        <v>3339</v>
      </c>
    </row>
    <row r="6" spans="1:4" x14ac:dyDescent="0.25">
      <c r="A6" s="279" t="s">
        <v>27</v>
      </c>
      <c r="B6" s="279" t="s">
        <v>28</v>
      </c>
      <c r="C6" s="279" t="s">
        <v>752</v>
      </c>
      <c r="D6" s="354">
        <v>1490.5</v>
      </c>
    </row>
    <row r="7" spans="1:4" x14ac:dyDescent="0.25">
      <c r="A7" s="279" t="s">
        <v>29</v>
      </c>
      <c r="B7" s="279" t="s">
        <v>1968</v>
      </c>
      <c r="C7" s="279" t="s">
        <v>1974</v>
      </c>
      <c r="D7" s="354">
        <v>1490.5</v>
      </c>
    </row>
    <row r="8" spans="1:4" x14ac:dyDescent="0.25">
      <c r="A8" s="279" t="s">
        <v>31</v>
      </c>
      <c r="B8" s="279" t="s">
        <v>32</v>
      </c>
      <c r="C8" s="279" t="s">
        <v>749</v>
      </c>
      <c r="D8" s="354">
        <v>1490.5</v>
      </c>
    </row>
    <row r="9" spans="1:4" x14ac:dyDescent="0.25">
      <c r="A9" s="279" t="s">
        <v>33</v>
      </c>
      <c r="B9" s="279" t="s">
        <v>1969</v>
      </c>
      <c r="C9" s="279" t="s">
        <v>1975</v>
      </c>
      <c r="D9" s="354">
        <v>1490.5</v>
      </c>
    </row>
    <row r="10" spans="1:4" x14ac:dyDescent="0.25">
      <c r="A10" s="279" t="s">
        <v>36</v>
      </c>
      <c r="B10" s="279" t="s">
        <v>37</v>
      </c>
      <c r="C10" s="279" t="s">
        <v>784</v>
      </c>
      <c r="D10" s="354">
        <v>1412.5</v>
      </c>
    </row>
    <row r="11" spans="1:4" x14ac:dyDescent="0.25">
      <c r="A11" s="279" t="s">
        <v>373</v>
      </c>
      <c r="B11" s="279" t="s">
        <v>374</v>
      </c>
      <c r="C11" s="279" t="s">
        <v>799</v>
      </c>
      <c r="D11" s="354">
        <v>1412.5</v>
      </c>
    </row>
    <row r="12" spans="1:4" x14ac:dyDescent="0.25">
      <c r="A12" s="279" t="s">
        <v>38</v>
      </c>
      <c r="B12" s="279" t="s">
        <v>39</v>
      </c>
      <c r="C12" s="279" t="s">
        <v>793</v>
      </c>
      <c r="D12" s="354">
        <v>2622.5</v>
      </c>
    </row>
    <row r="13" spans="1:4" x14ac:dyDescent="0.25">
      <c r="A13" s="279" t="s">
        <v>40</v>
      </c>
      <c r="B13" s="279" t="s">
        <v>41</v>
      </c>
      <c r="C13" s="279" t="s">
        <v>758</v>
      </c>
      <c r="D13" s="354">
        <v>1490.5</v>
      </c>
    </row>
    <row r="14" spans="1:4" x14ac:dyDescent="0.25">
      <c r="A14" s="279" t="s">
        <v>42</v>
      </c>
      <c r="B14" s="279" t="s">
        <v>1970</v>
      </c>
      <c r="C14" s="279" t="s">
        <v>1976</v>
      </c>
      <c r="D14" s="354">
        <v>1490.5</v>
      </c>
    </row>
    <row r="15" spans="1:4" x14ac:dyDescent="0.25">
      <c r="A15" s="279" t="s">
        <v>45</v>
      </c>
      <c r="B15" s="279" t="s">
        <v>46</v>
      </c>
      <c r="C15" s="279" t="s">
        <v>765</v>
      </c>
      <c r="D15" s="354">
        <v>3340.5</v>
      </c>
    </row>
    <row r="16" spans="1:4" x14ac:dyDescent="0.25">
      <c r="A16" s="279" t="s">
        <v>47</v>
      </c>
      <c r="B16" s="279" t="s">
        <v>48</v>
      </c>
      <c r="C16" s="279" t="s">
        <v>768</v>
      </c>
      <c r="D16" s="354">
        <v>1490.5</v>
      </c>
    </row>
    <row r="17" spans="1:4" x14ac:dyDescent="0.25">
      <c r="A17" s="279" t="s">
        <v>49</v>
      </c>
      <c r="B17" s="280" t="s">
        <v>1971</v>
      </c>
      <c r="C17" s="280" t="s">
        <v>1998</v>
      </c>
      <c r="D17" s="354">
        <v>1490.5</v>
      </c>
    </row>
    <row r="18" spans="1:4" x14ac:dyDescent="0.25">
      <c r="A18" s="279" t="s">
        <v>52</v>
      </c>
      <c r="B18" s="279" t="s">
        <v>53</v>
      </c>
      <c r="C18" s="279" t="s">
        <v>822</v>
      </c>
      <c r="D18" s="354">
        <v>2591</v>
      </c>
    </row>
    <row r="19" spans="1:4" x14ac:dyDescent="0.25">
      <c r="A19" s="281" t="s">
        <v>1966</v>
      </c>
      <c r="B19" s="281" t="s">
        <v>1967</v>
      </c>
      <c r="C19" s="281" t="s">
        <v>1978</v>
      </c>
      <c r="D19" s="354">
        <v>2591</v>
      </c>
    </row>
    <row r="20" spans="1:4" x14ac:dyDescent="0.25">
      <c r="A20" s="282" t="s">
        <v>55</v>
      </c>
      <c r="B20" s="282" t="s">
        <v>56</v>
      </c>
      <c r="C20" s="282" t="s">
        <v>801</v>
      </c>
      <c r="D20" s="355">
        <v>1465.5</v>
      </c>
    </row>
    <row r="21" spans="1:4" x14ac:dyDescent="0.25">
      <c r="A21" s="282" t="s">
        <v>57</v>
      </c>
      <c r="B21" s="282" t="s">
        <v>58</v>
      </c>
      <c r="C21" s="283" t="s">
        <v>812</v>
      </c>
      <c r="D21" s="355">
        <v>1741</v>
      </c>
    </row>
    <row r="22" spans="1:4" x14ac:dyDescent="0.25">
      <c r="A22" s="282" t="s">
        <v>59</v>
      </c>
      <c r="B22" s="282" t="s">
        <v>60</v>
      </c>
      <c r="C22" s="282" t="s">
        <v>804</v>
      </c>
      <c r="D22" s="355">
        <v>1465.5</v>
      </c>
    </row>
    <row r="23" spans="1:4" x14ac:dyDescent="0.25">
      <c r="A23" s="282" t="s">
        <v>61</v>
      </c>
      <c r="B23" s="282" t="s">
        <v>62</v>
      </c>
      <c r="C23" s="282" t="s">
        <v>814</v>
      </c>
      <c r="D23" s="355">
        <v>1741</v>
      </c>
    </row>
    <row r="24" spans="1:4" x14ac:dyDescent="0.25">
      <c r="A24" s="282" t="s">
        <v>63</v>
      </c>
      <c r="B24" s="282" t="s">
        <v>64</v>
      </c>
      <c r="C24" s="282" t="s">
        <v>806</v>
      </c>
      <c r="D24" s="355">
        <v>1465.5</v>
      </c>
    </row>
    <row r="25" spans="1:4" x14ac:dyDescent="0.25">
      <c r="A25" s="282" t="s">
        <v>65</v>
      </c>
      <c r="B25" s="282" t="s">
        <v>66</v>
      </c>
      <c r="C25" s="282" t="s">
        <v>816</v>
      </c>
      <c r="D25" s="355">
        <v>1741</v>
      </c>
    </row>
    <row r="26" spans="1:4" x14ac:dyDescent="0.25">
      <c r="A26" s="282" t="s">
        <v>67</v>
      </c>
      <c r="B26" s="282" t="s">
        <v>68</v>
      </c>
      <c r="C26" s="282" t="s">
        <v>810</v>
      </c>
      <c r="D26" s="355">
        <v>1465.5</v>
      </c>
    </row>
    <row r="27" spans="1:4" x14ac:dyDescent="0.25">
      <c r="A27" s="282" t="s">
        <v>69</v>
      </c>
      <c r="B27" s="282" t="s">
        <v>70</v>
      </c>
      <c r="C27" s="282" t="s">
        <v>820</v>
      </c>
      <c r="D27" s="355">
        <v>1741</v>
      </c>
    </row>
    <row r="28" spans="1:4" x14ac:dyDescent="0.25">
      <c r="A28" s="282" t="s">
        <v>71</v>
      </c>
      <c r="B28" s="282" t="s">
        <v>72</v>
      </c>
      <c r="C28" s="282" t="s">
        <v>808</v>
      </c>
      <c r="D28" s="355">
        <v>1465.5</v>
      </c>
    </row>
    <row r="29" spans="1:4" x14ac:dyDescent="0.25">
      <c r="A29" s="282" t="s">
        <v>73</v>
      </c>
      <c r="B29" s="282" t="s">
        <v>74</v>
      </c>
      <c r="C29" s="282" t="s">
        <v>818</v>
      </c>
      <c r="D29" s="355">
        <v>1741</v>
      </c>
    </row>
    <row r="30" spans="1:4" x14ac:dyDescent="0.25">
      <c r="A30" s="282" t="s">
        <v>75</v>
      </c>
      <c r="B30" s="282" t="s">
        <v>76</v>
      </c>
      <c r="C30" s="282" t="s">
        <v>1870</v>
      </c>
      <c r="D30" s="355">
        <v>1465.5</v>
      </c>
    </row>
    <row r="31" spans="1:4" x14ac:dyDescent="0.25">
      <c r="A31" s="282" t="s">
        <v>77</v>
      </c>
      <c r="B31" s="282" t="s">
        <v>78</v>
      </c>
      <c r="C31" s="282" t="s">
        <v>1876</v>
      </c>
      <c r="D31" s="355">
        <v>1741</v>
      </c>
    </row>
    <row r="32" spans="1:4" x14ac:dyDescent="0.25">
      <c r="A32" s="282" t="s">
        <v>79</v>
      </c>
      <c r="B32" s="282" t="s">
        <v>80</v>
      </c>
      <c r="C32" s="282" t="s">
        <v>1865</v>
      </c>
      <c r="D32" s="355">
        <v>1465.5</v>
      </c>
    </row>
    <row r="33" spans="1:8" x14ac:dyDescent="0.25">
      <c r="A33" s="282" t="s">
        <v>81</v>
      </c>
      <c r="B33" s="282" t="s">
        <v>82</v>
      </c>
      <c r="C33" s="282" t="s">
        <v>1872</v>
      </c>
      <c r="D33" s="355">
        <v>1741</v>
      </c>
    </row>
    <row r="34" spans="1:8" x14ac:dyDescent="0.25">
      <c r="A34" s="282" t="s">
        <v>83</v>
      </c>
      <c r="B34" s="282" t="s">
        <v>84</v>
      </c>
      <c r="C34" s="282" t="s">
        <v>1868</v>
      </c>
      <c r="D34" s="355">
        <v>1465.5</v>
      </c>
    </row>
    <row r="35" spans="1:8" x14ac:dyDescent="0.25">
      <c r="A35" s="282" t="s">
        <v>85</v>
      </c>
      <c r="B35" s="282" t="s">
        <v>86</v>
      </c>
      <c r="C35" s="282" t="s">
        <v>1874</v>
      </c>
      <c r="D35" s="355">
        <v>1741</v>
      </c>
    </row>
    <row r="36" spans="1:8" x14ac:dyDescent="0.25">
      <c r="A36" s="284" t="s">
        <v>92</v>
      </c>
      <c r="B36" s="284" t="s">
        <v>93</v>
      </c>
      <c r="C36" s="284" t="s">
        <v>1840</v>
      </c>
      <c r="D36" s="356">
        <v>668</v>
      </c>
    </row>
    <row r="37" spans="1:8" s="326" customFormat="1" x14ac:dyDescent="0.25">
      <c r="A37" s="284" t="s">
        <v>1981</v>
      </c>
      <c r="B37" s="284" t="s">
        <v>1982</v>
      </c>
      <c r="C37" s="284"/>
      <c r="D37" s="356">
        <v>37.5</v>
      </c>
    </row>
    <row r="38" spans="1:8" x14ac:dyDescent="0.25">
      <c r="A38" s="284" t="s">
        <v>1984</v>
      </c>
      <c r="B38" s="284" t="s">
        <v>89</v>
      </c>
      <c r="C38" s="284" t="s">
        <v>1799</v>
      </c>
      <c r="D38" s="356">
        <v>27.5</v>
      </c>
    </row>
    <row r="39" spans="1:8" s="326" customFormat="1" x14ac:dyDescent="0.25">
      <c r="A39" s="284" t="s">
        <v>1983</v>
      </c>
      <c r="B39" s="284" t="s">
        <v>1985</v>
      </c>
      <c r="C39" s="284"/>
      <c r="D39" s="356">
        <v>35.5</v>
      </c>
    </row>
    <row r="40" spans="1:8" s="326" customFormat="1" x14ac:dyDescent="0.25">
      <c r="A40" s="284" t="s">
        <v>1987</v>
      </c>
      <c r="B40" s="284" t="s">
        <v>1988</v>
      </c>
      <c r="C40" s="284"/>
      <c r="D40" s="356">
        <v>23</v>
      </c>
    </row>
    <row r="41" spans="1:8" s="326" customFormat="1" x14ac:dyDescent="0.25">
      <c r="A41" s="284" t="s">
        <v>1986</v>
      </c>
      <c r="B41" s="284" t="s">
        <v>1989</v>
      </c>
      <c r="C41" s="284"/>
      <c r="D41" s="356">
        <v>8</v>
      </c>
    </row>
    <row r="42" spans="1:8" s="326" customFormat="1" x14ac:dyDescent="0.25">
      <c r="A42" s="284" t="s">
        <v>1990</v>
      </c>
      <c r="B42" s="284" t="s">
        <v>1991</v>
      </c>
      <c r="C42" s="284"/>
      <c r="D42" s="356">
        <v>32.5</v>
      </c>
      <c r="H42" s="334"/>
    </row>
    <row r="43" spans="1:8" x14ac:dyDescent="0.25">
      <c r="A43" s="285" t="s">
        <v>105</v>
      </c>
      <c r="B43" s="285" t="s">
        <v>106</v>
      </c>
      <c r="C43" s="285" t="s">
        <v>876</v>
      </c>
      <c r="D43" s="357">
        <v>51232</v>
      </c>
      <c r="E43" s="326"/>
    </row>
    <row r="44" spans="1:8" x14ac:dyDescent="0.25">
      <c r="A44" s="285" t="s">
        <v>107</v>
      </c>
      <c r="B44" s="285" t="s">
        <v>108</v>
      </c>
      <c r="C44" s="285" t="s">
        <v>871</v>
      </c>
      <c r="D44" s="357">
        <v>51450</v>
      </c>
      <c r="E44" s="326"/>
      <c r="H44" s="335"/>
    </row>
    <row r="45" spans="1:8" x14ac:dyDescent="0.25">
      <c r="A45" s="285" t="s">
        <v>110</v>
      </c>
      <c r="B45" s="285" t="s">
        <v>111</v>
      </c>
      <c r="C45" s="285" t="s">
        <v>931</v>
      </c>
      <c r="D45" s="357">
        <v>53923.5</v>
      </c>
      <c r="E45" s="326"/>
    </row>
    <row r="46" spans="1:8" x14ac:dyDescent="0.25">
      <c r="A46" s="285" t="s">
        <v>112</v>
      </c>
      <c r="B46" s="285" t="s">
        <v>113</v>
      </c>
      <c r="C46" s="285" t="s">
        <v>925</v>
      </c>
      <c r="D46" s="357">
        <v>53930.5</v>
      </c>
      <c r="E46" s="326"/>
    </row>
    <row r="47" spans="1:8" x14ac:dyDescent="0.25">
      <c r="A47" s="285" t="s">
        <v>116</v>
      </c>
      <c r="B47" s="285" t="s">
        <v>117</v>
      </c>
      <c r="C47" s="285" t="s">
        <v>878</v>
      </c>
      <c r="D47" s="357">
        <v>36054.5</v>
      </c>
      <c r="E47" s="326"/>
    </row>
    <row r="48" spans="1:8" x14ac:dyDescent="0.25">
      <c r="A48" s="285" t="s">
        <v>118</v>
      </c>
      <c r="B48" s="285" t="s">
        <v>119</v>
      </c>
      <c r="C48" s="285" t="s">
        <v>873</v>
      </c>
      <c r="D48" s="357">
        <v>38650.5</v>
      </c>
      <c r="E48" s="326"/>
    </row>
    <row r="49" spans="1:5" x14ac:dyDescent="0.25">
      <c r="A49" s="285" t="s">
        <v>120</v>
      </c>
      <c r="B49" s="285" t="s">
        <v>121</v>
      </c>
      <c r="C49" s="285" t="s">
        <v>933</v>
      </c>
      <c r="D49" s="357">
        <v>38535</v>
      </c>
      <c r="E49" s="326"/>
    </row>
    <row r="50" spans="1:5" x14ac:dyDescent="0.25">
      <c r="A50" s="285" t="s">
        <v>122</v>
      </c>
      <c r="B50" s="285" t="s">
        <v>123</v>
      </c>
      <c r="C50" s="285" t="s">
        <v>928</v>
      </c>
      <c r="D50" s="357">
        <v>39798.5</v>
      </c>
      <c r="E50" s="326"/>
    </row>
    <row r="51" spans="1:5" x14ac:dyDescent="0.25">
      <c r="A51" s="285" t="s">
        <v>126</v>
      </c>
      <c r="B51" s="285" t="s">
        <v>456</v>
      </c>
      <c r="C51" s="285" t="s">
        <v>935</v>
      </c>
      <c r="D51" s="357">
        <v>27103</v>
      </c>
      <c r="E51" s="326"/>
    </row>
    <row r="52" spans="1:5" x14ac:dyDescent="0.25">
      <c r="A52" s="285" t="s">
        <v>128</v>
      </c>
      <c r="B52" s="285" t="s">
        <v>129</v>
      </c>
      <c r="C52" s="285" t="s">
        <v>986</v>
      </c>
      <c r="D52" s="357">
        <v>31186</v>
      </c>
      <c r="E52" s="326"/>
    </row>
    <row r="53" spans="1:5" x14ac:dyDescent="0.25">
      <c r="A53" s="286" t="s">
        <v>131</v>
      </c>
      <c r="B53" s="286" t="s">
        <v>1979</v>
      </c>
      <c r="C53" s="286" t="s">
        <v>1980</v>
      </c>
      <c r="D53" s="358">
        <v>2181.5</v>
      </c>
      <c r="E53" s="326"/>
    </row>
    <row r="54" spans="1:5" x14ac:dyDescent="0.25">
      <c r="A54" s="286" t="s">
        <v>133</v>
      </c>
      <c r="B54" s="286" t="s">
        <v>134</v>
      </c>
      <c r="C54" s="286" t="s">
        <v>1727</v>
      </c>
      <c r="D54" s="358">
        <v>5143</v>
      </c>
      <c r="E54" s="326"/>
    </row>
    <row r="55" spans="1:5" x14ac:dyDescent="0.25">
      <c r="A55" s="287" t="s">
        <v>136</v>
      </c>
      <c r="B55" s="287" t="s">
        <v>137</v>
      </c>
      <c r="C55" s="287" t="s">
        <v>1926</v>
      </c>
      <c r="D55" s="359">
        <v>66</v>
      </c>
      <c r="E55" s="326"/>
    </row>
    <row r="56" spans="1:5" x14ac:dyDescent="0.25">
      <c r="A56" s="287" t="s">
        <v>138</v>
      </c>
      <c r="B56" s="287" t="s">
        <v>139</v>
      </c>
      <c r="C56" s="287" t="s">
        <v>1927</v>
      </c>
      <c r="D56" s="359">
        <v>66</v>
      </c>
      <c r="E56" s="326"/>
    </row>
    <row r="57" spans="1:5" x14ac:dyDescent="0.25">
      <c r="A57" s="287" t="s">
        <v>140</v>
      </c>
      <c r="B57" s="287" t="s">
        <v>141</v>
      </c>
      <c r="C57" s="287" t="s">
        <v>1928</v>
      </c>
      <c r="D57" s="359">
        <v>66</v>
      </c>
      <c r="E57" s="326"/>
    </row>
    <row r="58" spans="1:5" x14ac:dyDescent="0.25">
      <c r="A58" s="287" t="s">
        <v>145</v>
      </c>
      <c r="B58" s="287" t="s">
        <v>146</v>
      </c>
      <c r="C58" s="287" t="s">
        <v>1930</v>
      </c>
      <c r="D58" s="359">
        <v>66</v>
      </c>
      <c r="E58" s="326"/>
    </row>
    <row r="59" spans="1:5" x14ac:dyDescent="0.25">
      <c r="A59" s="288" t="s">
        <v>150</v>
      </c>
      <c r="B59" s="288" t="s">
        <v>151</v>
      </c>
      <c r="C59" s="288" t="s">
        <v>980</v>
      </c>
      <c r="D59" s="360">
        <v>7301.5</v>
      </c>
    </row>
    <row r="60" spans="1:5" x14ac:dyDescent="0.25">
      <c r="A60" s="288" t="s">
        <v>152</v>
      </c>
      <c r="B60" s="288" t="s">
        <v>153</v>
      </c>
      <c r="C60" s="288" t="s">
        <v>997</v>
      </c>
      <c r="D60" s="360">
        <v>7524.5</v>
      </c>
    </row>
    <row r="61" spans="1:5" x14ac:dyDescent="0.25">
      <c r="A61" s="288" t="s">
        <v>155</v>
      </c>
      <c r="B61" s="288" t="s">
        <v>156</v>
      </c>
      <c r="C61" s="288" t="s">
        <v>1086</v>
      </c>
      <c r="D61" s="360">
        <v>6818</v>
      </c>
    </row>
    <row r="62" spans="1:5" x14ac:dyDescent="0.25">
      <c r="A62" s="288" t="s">
        <v>157</v>
      </c>
      <c r="B62" s="288" t="s">
        <v>158</v>
      </c>
      <c r="C62" s="288" t="s">
        <v>1089</v>
      </c>
      <c r="D62" s="360">
        <v>2737.5</v>
      </c>
    </row>
    <row r="63" spans="1:5" x14ac:dyDescent="0.25">
      <c r="A63" s="383" t="s">
        <v>1952</v>
      </c>
      <c r="B63" s="384" t="s">
        <v>412</v>
      </c>
      <c r="C63" s="384" t="s">
        <v>1250</v>
      </c>
      <c r="D63" s="385">
        <v>5873</v>
      </c>
    </row>
    <row r="64" spans="1:5" x14ac:dyDescent="0.25">
      <c r="A64" s="386" t="s">
        <v>1388</v>
      </c>
      <c r="B64" s="387" t="s">
        <v>1387</v>
      </c>
      <c r="C64" s="387" t="s">
        <v>1387</v>
      </c>
      <c r="D64" s="388">
        <v>5209.5</v>
      </c>
    </row>
    <row r="65" spans="1:12" x14ac:dyDescent="0.25">
      <c r="A65" s="389" t="s">
        <v>1275</v>
      </c>
      <c r="B65" s="390" t="s">
        <v>1273</v>
      </c>
      <c r="C65" s="390" t="s">
        <v>1273</v>
      </c>
      <c r="D65" s="391">
        <v>2464</v>
      </c>
      <c r="F65" s="333"/>
    </row>
    <row r="66" spans="1:12" x14ac:dyDescent="0.25">
      <c r="A66" s="288" t="s">
        <v>168</v>
      </c>
      <c r="B66" s="288" t="s">
        <v>169</v>
      </c>
      <c r="C66" s="288" t="s">
        <v>1206</v>
      </c>
      <c r="D66" s="360">
        <v>7576.5</v>
      </c>
      <c r="F66" s="333"/>
    </row>
    <row r="67" spans="1:12" x14ac:dyDescent="0.25">
      <c r="A67" s="288" t="s">
        <v>170</v>
      </c>
      <c r="B67" s="288" t="s">
        <v>171</v>
      </c>
      <c r="C67" s="288" t="s">
        <v>1951</v>
      </c>
      <c r="D67" s="360">
        <v>1794</v>
      </c>
      <c r="F67" s="333"/>
    </row>
    <row r="68" spans="1:12" x14ac:dyDescent="0.25">
      <c r="A68" s="288" t="s">
        <v>162</v>
      </c>
      <c r="B68" s="288" t="s">
        <v>163</v>
      </c>
      <c r="C68" s="288" t="s">
        <v>1078</v>
      </c>
      <c r="D68" s="360">
        <v>7576.5</v>
      </c>
      <c r="J68" s="329"/>
      <c r="K68" s="329"/>
      <c r="L68" s="330"/>
    </row>
    <row r="69" spans="1:12" x14ac:dyDescent="0.25">
      <c r="A69" s="288" t="s">
        <v>164</v>
      </c>
      <c r="B69" s="288" t="s">
        <v>165</v>
      </c>
      <c r="C69" s="288" t="s">
        <v>1023</v>
      </c>
      <c r="D69" s="360">
        <v>1794</v>
      </c>
      <c r="J69" s="329"/>
      <c r="K69" s="329"/>
      <c r="L69" s="330"/>
    </row>
    <row r="70" spans="1:12" x14ac:dyDescent="0.25">
      <c r="A70" s="288" t="s">
        <v>166</v>
      </c>
      <c r="B70" s="288" t="s">
        <v>167</v>
      </c>
      <c r="C70" s="288" t="s">
        <v>1106</v>
      </c>
      <c r="D70" s="360">
        <v>2792.5</v>
      </c>
      <c r="J70" s="329"/>
      <c r="K70" s="329"/>
      <c r="L70" s="330"/>
    </row>
    <row r="71" spans="1:12" x14ac:dyDescent="0.25">
      <c r="A71" s="288" t="s">
        <v>172</v>
      </c>
      <c r="B71" s="288" t="s">
        <v>173</v>
      </c>
      <c r="C71" s="288" t="s">
        <v>1185</v>
      </c>
      <c r="D71" s="360">
        <v>177.5</v>
      </c>
      <c r="J71" s="329"/>
      <c r="K71" s="329"/>
      <c r="L71" s="330"/>
    </row>
    <row r="72" spans="1:12" x14ac:dyDescent="0.25">
      <c r="A72" s="288" t="s">
        <v>174</v>
      </c>
      <c r="B72" s="288" t="s">
        <v>175</v>
      </c>
      <c r="C72" s="288" t="s">
        <v>1183</v>
      </c>
      <c r="D72" s="360">
        <v>151</v>
      </c>
      <c r="J72" s="329"/>
      <c r="K72" s="329"/>
      <c r="L72" s="330"/>
    </row>
    <row r="73" spans="1:12" x14ac:dyDescent="0.25">
      <c r="A73" s="288" t="s">
        <v>176</v>
      </c>
      <c r="B73" s="288" t="s">
        <v>177</v>
      </c>
      <c r="C73" s="288" t="s">
        <v>1116</v>
      </c>
      <c r="D73" s="360">
        <v>898</v>
      </c>
    </row>
    <row r="74" spans="1:12" x14ac:dyDescent="0.25">
      <c r="A74" s="288" t="s">
        <v>178</v>
      </c>
      <c r="B74" s="288" t="s">
        <v>179</v>
      </c>
      <c r="C74" s="288" t="s">
        <v>1014</v>
      </c>
      <c r="D74" s="360">
        <v>898</v>
      </c>
    </row>
    <row r="75" spans="1:12" x14ac:dyDescent="0.25">
      <c r="A75" s="288" t="s">
        <v>180</v>
      </c>
      <c r="B75" s="288" t="s">
        <v>181</v>
      </c>
      <c r="C75" s="288" t="s">
        <v>1019</v>
      </c>
      <c r="D75" s="360">
        <v>7657</v>
      </c>
    </row>
    <row r="76" spans="1:12" x14ac:dyDescent="0.25">
      <c r="A76" s="288" t="s">
        <v>188</v>
      </c>
      <c r="B76" s="288" t="s">
        <v>189</v>
      </c>
      <c r="C76" s="288" t="s">
        <v>1098</v>
      </c>
      <c r="D76" s="360">
        <v>2272</v>
      </c>
    </row>
    <row r="77" spans="1:12" x14ac:dyDescent="0.25">
      <c r="A77" s="288" t="s">
        <v>190</v>
      </c>
      <c r="B77" s="288" t="s">
        <v>191</v>
      </c>
      <c r="C77" s="288" t="s">
        <v>1104</v>
      </c>
      <c r="D77" s="360">
        <v>3370</v>
      </c>
    </row>
    <row r="78" spans="1:12" x14ac:dyDescent="0.25">
      <c r="A78" s="288" t="s">
        <v>192</v>
      </c>
      <c r="B78" s="288" t="s">
        <v>193</v>
      </c>
      <c r="C78" s="288" t="s">
        <v>1091</v>
      </c>
      <c r="D78" s="360">
        <v>3866</v>
      </c>
    </row>
    <row r="79" spans="1:12" x14ac:dyDescent="0.25">
      <c r="A79" s="288" t="s">
        <v>195</v>
      </c>
      <c r="B79" s="288" t="s">
        <v>196</v>
      </c>
      <c r="C79" s="288" t="s">
        <v>1674</v>
      </c>
      <c r="D79" s="360">
        <v>4030</v>
      </c>
    </row>
    <row r="80" spans="1:12" x14ac:dyDescent="0.25">
      <c r="A80" s="288" t="s">
        <v>197</v>
      </c>
      <c r="B80" s="288" t="s">
        <v>198</v>
      </c>
      <c r="C80" s="288" t="s">
        <v>1677</v>
      </c>
      <c r="D80" s="360">
        <v>4963</v>
      </c>
    </row>
    <row r="81" spans="1:10" x14ac:dyDescent="0.25">
      <c r="A81" s="288" t="s">
        <v>200</v>
      </c>
      <c r="B81" s="288" t="s">
        <v>201</v>
      </c>
      <c r="C81" s="288" t="s">
        <v>1919</v>
      </c>
      <c r="D81" s="360">
        <v>572.5</v>
      </c>
      <c r="E81" s="244"/>
      <c r="H81" s="244"/>
      <c r="I81" s="244"/>
      <c r="J81" s="244"/>
    </row>
    <row r="82" spans="1:10" x14ac:dyDescent="0.25">
      <c r="A82" s="289" t="s">
        <v>1955</v>
      </c>
      <c r="B82" s="289" t="s">
        <v>206</v>
      </c>
      <c r="C82" s="289" t="s">
        <v>1046</v>
      </c>
      <c r="D82" s="361">
        <v>6371</v>
      </c>
    </row>
    <row r="83" spans="1:10" x14ac:dyDescent="0.25">
      <c r="A83" s="289" t="s">
        <v>1956</v>
      </c>
      <c r="B83" s="289" t="s">
        <v>208</v>
      </c>
      <c r="C83" s="289" t="s">
        <v>1050</v>
      </c>
      <c r="D83" s="361">
        <v>8857</v>
      </c>
    </row>
    <row r="84" spans="1:10" x14ac:dyDescent="0.25">
      <c r="A84" s="289" t="s">
        <v>1957</v>
      </c>
      <c r="B84" s="289" t="s">
        <v>210</v>
      </c>
      <c r="C84" s="289" t="s">
        <v>1044</v>
      </c>
      <c r="D84" s="361">
        <v>10838.5</v>
      </c>
    </row>
    <row r="85" spans="1:10" x14ac:dyDescent="0.25">
      <c r="A85" s="290" t="s">
        <v>1958</v>
      </c>
      <c r="B85" s="290" t="s">
        <v>220</v>
      </c>
      <c r="C85" s="290" t="s">
        <v>1303</v>
      </c>
      <c r="D85" s="362">
        <v>2480</v>
      </c>
    </row>
    <row r="86" spans="1:10" x14ac:dyDescent="0.25">
      <c r="A86" s="290" t="s">
        <v>221</v>
      </c>
      <c r="B86" s="290" t="s">
        <v>222</v>
      </c>
      <c r="C86" s="290" t="s">
        <v>1309</v>
      </c>
      <c r="D86" s="362">
        <v>6121</v>
      </c>
    </row>
    <row r="87" spans="1:10" x14ac:dyDescent="0.25">
      <c r="A87" s="290" t="s">
        <v>223</v>
      </c>
      <c r="B87" s="290" t="s">
        <v>224</v>
      </c>
      <c r="C87" s="290" t="s">
        <v>1341</v>
      </c>
      <c r="D87" s="362">
        <v>367.5</v>
      </c>
    </row>
    <row r="88" spans="1:10" x14ac:dyDescent="0.25">
      <c r="A88" s="290" t="s">
        <v>225</v>
      </c>
      <c r="B88" s="290" t="s">
        <v>226</v>
      </c>
      <c r="C88" s="290" t="s">
        <v>1311</v>
      </c>
      <c r="D88" s="362">
        <v>13673</v>
      </c>
    </row>
    <row r="89" spans="1:10" x14ac:dyDescent="0.25">
      <c r="A89" s="291" t="s">
        <v>1959</v>
      </c>
      <c r="B89" s="291" t="s">
        <v>1960</v>
      </c>
      <c r="C89" s="292" t="s">
        <v>1961</v>
      </c>
      <c r="D89" s="362">
        <v>26017</v>
      </c>
    </row>
    <row r="90" spans="1:10" x14ac:dyDescent="0.25">
      <c r="A90" s="290" t="s">
        <v>227</v>
      </c>
      <c r="B90" s="290" t="s">
        <v>228</v>
      </c>
      <c r="C90" s="290" t="s">
        <v>1317</v>
      </c>
      <c r="D90" s="362">
        <v>15585.5</v>
      </c>
    </row>
    <row r="91" spans="1:10" x14ac:dyDescent="0.25">
      <c r="A91" s="290" t="s">
        <v>229</v>
      </c>
      <c r="B91" s="290" t="s">
        <v>230</v>
      </c>
      <c r="C91" s="290" t="s">
        <v>1319</v>
      </c>
      <c r="D91" s="362">
        <v>74937.5</v>
      </c>
    </row>
    <row r="92" spans="1:10" x14ac:dyDescent="0.25">
      <c r="A92" s="290" t="s">
        <v>231</v>
      </c>
      <c r="B92" s="290" t="s">
        <v>232</v>
      </c>
      <c r="C92" s="290" t="s">
        <v>1321</v>
      </c>
      <c r="D92" s="362">
        <v>19046.5</v>
      </c>
    </row>
    <row r="93" spans="1:10" x14ac:dyDescent="0.25">
      <c r="A93" s="290" t="s">
        <v>233</v>
      </c>
      <c r="B93" s="290" t="s">
        <v>234</v>
      </c>
      <c r="C93" s="290" t="s">
        <v>1323</v>
      </c>
      <c r="D93" s="362">
        <v>22760.5</v>
      </c>
    </row>
    <row r="94" spans="1:10" x14ac:dyDescent="0.25">
      <c r="A94" s="290" t="s">
        <v>235</v>
      </c>
      <c r="B94" s="290" t="s">
        <v>236</v>
      </c>
      <c r="C94" s="290" t="s">
        <v>1327</v>
      </c>
      <c r="D94" s="362">
        <v>25837.5</v>
      </c>
    </row>
    <row r="95" spans="1:10" x14ac:dyDescent="0.25">
      <c r="A95" s="290" t="s">
        <v>237</v>
      </c>
      <c r="B95" s="290" t="s">
        <v>238</v>
      </c>
      <c r="C95" s="290" t="s">
        <v>1329</v>
      </c>
      <c r="D95" s="362">
        <v>28478.5</v>
      </c>
    </row>
    <row r="96" spans="1:10" x14ac:dyDescent="0.25">
      <c r="A96" s="290" t="s">
        <v>239</v>
      </c>
      <c r="B96" s="290" t="s">
        <v>240</v>
      </c>
      <c r="C96" s="290" t="s">
        <v>1331</v>
      </c>
      <c r="D96" s="362">
        <v>38013.5</v>
      </c>
    </row>
    <row r="97" spans="1:4" x14ac:dyDescent="0.25">
      <c r="A97" s="290" t="s">
        <v>241</v>
      </c>
      <c r="B97" s="290" t="s">
        <v>242</v>
      </c>
      <c r="C97" s="290" t="s">
        <v>1920</v>
      </c>
      <c r="D97" s="362">
        <v>709</v>
      </c>
    </row>
    <row r="98" spans="1:4" x14ac:dyDescent="0.25">
      <c r="A98" s="290" t="s">
        <v>244</v>
      </c>
      <c r="B98" s="290" t="s">
        <v>245</v>
      </c>
      <c r="C98" s="290" t="s">
        <v>1921</v>
      </c>
      <c r="D98" s="362">
        <v>2222</v>
      </c>
    </row>
    <row r="99" spans="1:4" x14ac:dyDescent="0.25">
      <c r="A99" s="290" t="s">
        <v>246</v>
      </c>
      <c r="B99" s="290" t="s">
        <v>247</v>
      </c>
      <c r="C99" s="290" t="s">
        <v>1880</v>
      </c>
      <c r="D99" s="362">
        <v>1032</v>
      </c>
    </row>
    <row r="100" spans="1:4" x14ac:dyDescent="0.25">
      <c r="A100" s="363" t="s">
        <v>1285</v>
      </c>
      <c r="B100" s="364" t="s">
        <v>1297</v>
      </c>
      <c r="C100" s="364" t="s">
        <v>1284</v>
      </c>
      <c r="D100" s="365">
        <v>33244.5</v>
      </c>
    </row>
    <row r="101" spans="1:4" x14ac:dyDescent="0.25">
      <c r="A101" s="366" t="s">
        <v>1300</v>
      </c>
      <c r="B101" s="290" t="s">
        <v>1297</v>
      </c>
      <c r="C101" s="290" t="s">
        <v>1299</v>
      </c>
      <c r="D101" s="367">
        <v>39076</v>
      </c>
    </row>
    <row r="102" spans="1:4" x14ac:dyDescent="0.25">
      <c r="A102" s="366" t="s">
        <v>1289</v>
      </c>
      <c r="B102" s="290" t="s">
        <v>1297</v>
      </c>
      <c r="C102" s="290" t="s">
        <v>1288</v>
      </c>
      <c r="D102" s="367">
        <v>48170</v>
      </c>
    </row>
    <row r="103" spans="1:4" x14ac:dyDescent="0.25">
      <c r="A103" s="366" t="s">
        <v>1292</v>
      </c>
      <c r="B103" s="290" t="s">
        <v>1291</v>
      </c>
      <c r="C103" s="290" t="s">
        <v>1290</v>
      </c>
      <c r="D103" s="367">
        <v>39381.5</v>
      </c>
    </row>
    <row r="104" spans="1:4" x14ac:dyDescent="0.25">
      <c r="A104" s="366" t="s">
        <v>1296</v>
      </c>
      <c r="B104" s="290" t="s">
        <v>1297</v>
      </c>
      <c r="C104" s="290" t="s">
        <v>1295</v>
      </c>
      <c r="D104" s="367">
        <v>57134</v>
      </c>
    </row>
    <row r="105" spans="1:4" x14ac:dyDescent="0.25">
      <c r="A105" s="368" t="s">
        <v>1298</v>
      </c>
      <c r="B105" s="369" t="s">
        <v>1297</v>
      </c>
      <c r="C105" s="369" t="s">
        <v>1297</v>
      </c>
      <c r="D105" s="370">
        <v>62405</v>
      </c>
    </row>
    <row r="106" spans="1:4" x14ac:dyDescent="0.25">
      <c r="A106" s="293" t="s">
        <v>1993</v>
      </c>
      <c r="B106" s="293" t="s">
        <v>267</v>
      </c>
      <c r="C106" s="293" t="s">
        <v>1768</v>
      </c>
      <c r="D106" s="371">
        <v>38.5</v>
      </c>
    </row>
    <row r="107" spans="1:4" x14ac:dyDescent="0.25">
      <c r="A107" s="293" t="s">
        <v>1992</v>
      </c>
      <c r="B107" s="293" t="s">
        <v>1994</v>
      </c>
      <c r="C107" s="293"/>
      <c r="D107" s="371">
        <v>16.5</v>
      </c>
    </row>
    <row r="108" spans="1:4" x14ac:dyDescent="0.25">
      <c r="A108" s="293" t="s">
        <v>1995</v>
      </c>
      <c r="B108" s="293" t="s">
        <v>269</v>
      </c>
      <c r="C108" s="293" t="s">
        <v>1771</v>
      </c>
      <c r="D108" s="371">
        <v>38.5</v>
      </c>
    </row>
    <row r="109" spans="1:4" x14ac:dyDescent="0.25">
      <c r="A109" s="293" t="s">
        <v>1996</v>
      </c>
      <c r="B109" s="293" t="s">
        <v>1997</v>
      </c>
      <c r="C109" s="293"/>
      <c r="D109" s="371">
        <v>12</v>
      </c>
    </row>
    <row r="110" spans="1:4" x14ac:dyDescent="0.25">
      <c r="A110" s="293" t="s">
        <v>272</v>
      </c>
      <c r="B110" s="293" t="s">
        <v>273</v>
      </c>
      <c r="C110" s="293" t="s">
        <v>1852</v>
      </c>
      <c r="D110" s="371">
        <v>219</v>
      </c>
    </row>
    <row r="111" spans="1:4" x14ac:dyDescent="0.25">
      <c r="A111" s="293" t="s">
        <v>274</v>
      </c>
      <c r="B111" s="293" t="s">
        <v>275</v>
      </c>
      <c r="C111" s="293" t="s">
        <v>1810</v>
      </c>
      <c r="D111" s="371">
        <v>624.5</v>
      </c>
    </row>
    <row r="112" spans="1:4" x14ac:dyDescent="0.25">
      <c r="A112" s="293" t="s">
        <v>276</v>
      </c>
      <c r="B112" s="293" t="s">
        <v>277</v>
      </c>
      <c r="C112" s="293" t="s">
        <v>1829</v>
      </c>
      <c r="D112" s="371">
        <v>573</v>
      </c>
    </row>
    <row r="113" spans="1:4" x14ac:dyDescent="0.25">
      <c r="A113" s="293" t="s">
        <v>278</v>
      </c>
      <c r="B113" s="293" t="s">
        <v>279</v>
      </c>
      <c r="C113" s="293" t="s">
        <v>1670</v>
      </c>
      <c r="D113" s="371">
        <v>375</v>
      </c>
    </row>
    <row r="114" spans="1:4" x14ac:dyDescent="0.25">
      <c r="A114" s="293" t="s">
        <v>280</v>
      </c>
      <c r="B114" s="293" t="s">
        <v>281</v>
      </c>
      <c r="C114" s="293" t="s">
        <v>1663</v>
      </c>
      <c r="D114" s="371">
        <v>128</v>
      </c>
    </row>
    <row r="115" spans="1:4" x14ac:dyDescent="0.25">
      <c r="A115" s="293" t="s">
        <v>282</v>
      </c>
      <c r="B115" s="293" t="s">
        <v>283</v>
      </c>
      <c r="C115" s="293" t="s">
        <v>1672</v>
      </c>
      <c r="D115" s="371">
        <v>191</v>
      </c>
    </row>
    <row r="116" spans="1:4" x14ac:dyDescent="0.25">
      <c r="A116" s="293" t="s">
        <v>284</v>
      </c>
      <c r="B116" s="293" t="s">
        <v>285</v>
      </c>
      <c r="C116" s="293" t="s">
        <v>1658</v>
      </c>
      <c r="D116" s="371">
        <v>105</v>
      </c>
    </row>
    <row r="117" spans="1:4" x14ac:dyDescent="0.25">
      <c r="A117" s="293" t="s">
        <v>286</v>
      </c>
      <c r="B117" s="293" t="s">
        <v>287</v>
      </c>
      <c r="C117" s="293" t="s">
        <v>1846</v>
      </c>
      <c r="D117" s="371">
        <v>499</v>
      </c>
    </row>
    <row r="118" spans="1:4" x14ac:dyDescent="0.25">
      <c r="A118" s="293" t="s">
        <v>288</v>
      </c>
      <c r="B118" s="293" t="s">
        <v>289</v>
      </c>
      <c r="C118" s="293" t="s">
        <v>1900</v>
      </c>
      <c r="D118" s="371">
        <v>24.5</v>
      </c>
    </row>
    <row r="119" spans="1:4" x14ac:dyDescent="0.25">
      <c r="A119" s="293" t="s">
        <v>290</v>
      </c>
      <c r="B119" s="293" t="s">
        <v>291</v>
      </c>
      <c r="C119" s="293" t="s">
        <v>1854</v>
      </c>
      <c r="D119" s="371">
        <v>13.5</v>
      </c>
    </row>
    <row r="120" spans="1:4" x14ac:dyDescent="0.25">
      <c r="A120" s="293" t="s">
        <v>292</v>
      </c>
      <c r="B120" s="293" t="s">
        <v>293</v>
      </c>
      <c r="C120" s="293" t="s">
        <v>1011</v>
      </c>
      <c r="D120" s="371">
        <v>6410.5</v>
      </c>
    </row>
    <row r="121" spans="1:4" x14ac:dyDescent="0.25">
      <c r="A121" s="293" t="s">
        <v>294</v>
      </c>
      <c r="B121" s="293" t="s">
        <v>295</v>
      </c>
      <c r="C121" s="293" t="s">
        <v>1668</v>
      </c>
      <c r="D121" s="371">
        <v>300</v>
      </c>
    </row>
    <row r="122" spans="1:4" x14ac:dyDescent="0.25">
      <c r="A122" s="293" t="s">
        <v>296</v>
      </c>
      <c r="B122" s="293" t="s">
        <v>297</v>
      </c>
      <c r="C122" s="293" t="s">
        <v>1631</v>
      </c>
      <c r="D122" s="371">
        <v>31</v>
      </c>
    </row>
    <row r="123" spans="1:4" x14ac:dyDescent="0.25">
      <c r="A123" s="293" t="s">
        <v>298</v>
      </c>
      <c r="B123" s="293" t="s">
        <v>299</v>
      </c>
      <c r="C123" s="293" t="s">
        <v>1623</v>
      </c>
      <c r="D123" s="371">
        <v>868</v>
      </c>
    </row>
    <row r="124" spans="1:4" x14ac:dyDescent="0.25">
      <c r="A124" s="293" t="s">
        <v>300</v>
      </c>
      <c r="B124" s="293" t="s">
        <v>301</v>
      </c>
      <c r="C124" s="293" t="s">
        <v>1609</v>
      </c>
      <c r="D124" s="371">
        <v>1857</v>
      </c>
    </row>
    <row r="125" spans="1:4" x14ac:dyDescent="0.25">
      <c r="A125" s="293" t="s">
        <v>302</v>
      </c>
      <c r="B125" s="293" t="s">
        <v>303</v>
      </c>
      <c r="C125" s="293" t="s">
        <v>1722</v>
      </c>
      <c r="D125" s="371">
        <v>8</v>
      </c>
    </row>
    <row r="126" spans="1:4" x14ac:dyDescent="0.25">
      <c r="A126" s="293" t="s">
        <v>304</v>
      </c>
      <c r="B126" s="293" t="s">
        <v>305</v>
      </c>
      <c r="C126" s="293" t="s">
        <v>1545</v>
      </c>
      <c r="D126" s="371">
        <v>649.5</v>
      </c>
    </row>
    <row r="127" spans="1:4" x14ac:dyDescent="0.25">
      <c r="A127" s="293" t="s">
        <v>306</v>
      </c>
      <c r="B127" s="293" t="s">
        <v>307</v>
      </c>
      <c r="C127" s="293" t="s">
        <v>1878</v>
      </c>
      <c r="D127" s="371">
        <v>8</v>
      </c>
    </row>
    <row r="128" spans="1:4" x14ac:dyDescent="0.25">
      <c r="A128" s="293" t="s">
        <v>212</v>
      </c>
      <c r="B128" s="293" t="s">
        <v>213</v>
      </c>
      <c r="C128" s="293" t="s">
        <v>1856</v>
      </c>
      <c r="D128" s="371">
        <v>1001.5</v>
      </c>
    </row>
    <row r="129" spans="1:4" x14ac:dyDescent="0.25">
      <c r="A129" s="293" t="s">
        <v>214</v>
      </c>
      <c r="B129" s="293" t="s">
        <v>215</v>
      </c>
      <c r="C129" s="293" t="s">
        <v>1861</v>
      </c>
      <c r="D129" s="371">
        <v>1881.5</v>
      </c>
    </row>
    <row r="130" spans="1:4" x14ac:dyDescent="0.25">
      <c r="A130" s="293" t="s">
        <v>216</v>
      </c>
      <c r="B130" s="293" t="s">
        <v>217</v>
      </c>
      <c r="C130" s="293" t="s">
        <v>1863</v>
      </c>
      <c r="D130" s="371">
        <v>2682.5</v>
      </c>
    </row>
    <row r="131" spans="1:4" x14ac:dyDescent="0.25">
      <c r="A131" s="294" t="s">
        <v>249</v>
      </c>
      <c r="B131" s="294" t="s">
        <v>250</v>
      </c>
      <c r="C131" s="294" t="s">
        <v>1910</v>
      </c>
      <c r="D131" s="372">
        <v>121.5</v>
      </c>
    </row>
    <row r="132" spans="1:4" x14ac:dyDescent="0.25">
      <c r="A132" s="294" t="s">
        <v>251</v>
      </c>
      <c r="B132" s="294" t="s">
        <v>252</v>
      </c>
      <c r="C132" s="294" t="s">
        <v>1912</v>
      </c>
      <c r="D132" s="372">
        <v>121.5</v>
      </c>
    </row>
    <row r="133" spans="1:4" x14ac:dyDescent="0.25">
      <c r="A133" s="294" t="s">
        <v>253</v>
      </c>
      <c r="B133" s="294" t="s">
        <v>254</v>
      </c>
      <c r="C133" s="294" t="s">
        <v>1922</v>
      </c>
      <c r="D133" s="372">
        <v>121.5</v>
      </c>
    </row>
    <row r="134" spans="1:4" x14ac:dyDescent="0.25">
      <c r="A134" s="294" t="s">
        <v>255</v>
      </c>
      <c r="B134" s="294" t="s">
        <v>256</v>
      </c>
      <c r="C134" s="294" t="s">
        <v>1923</v>
      </c>
      <c r="D134" s="372">
        <v>66</v>
      </c>
    </row>
    <row r="135" spans="1:4" x14ac:dyDescent="0.25">
      <c r="A135" s="294" t="s">
        <v>257</v>
      </c>
      <c r="B135" s="294" t="s">
        <v>258</v>
      </c>
      <c r="C135" s="294" t="s">
        <v>1907</v>
      </c>
      <c r="D135" s="372">
        <v>66</v>
      </c>
    </row>
    <row r="136" spans="1:4" x14ac:dyDescent="0.25">
      <c r="A136" s="294" t="s">
        <v>259</v>
      </c>
      <c r="B136" s="294" t="s">
        <v>260</v>
      </c>
      <c r="C136" s="294" t="s">
        <v>1914</v>
      </c>
      <c r="D136" s="372">
        <v>175.5</v>
      </c>
    </row>
    <row r="137" spans="1:4" x14ac:dyDescent="0.25">
      <c r="A137" s="294" t="s">
        <v>261</v>
      </c>
      <c r="B137" s="294" t="s">
        <v>262</v>
      </c>
      <c r="C137" s="294" t="s">
        <v>1925</v>
      </c>
      <c r="D137" s="372">
        <v>66</v>
      </c>
    </row>
    <row r="138" spans="1:4" x14ac:dyDescent="0.25">
      <c r="A138" s="294" t="s">
        <v>263</v>
      </c>
      <c r="B138" s="294" t="s">
        <v>264</v>
      </c>
      <c r="C138" s="294" t="s">
        <v>1924</v>
      </c>
      <c r="D138" s="372">
        <v>66</v>
      </c>
    </row>
    <row r="139" spans="1:4" x14ac:dyDescent="0.25">
      <c r="A139" s="295" t="s">
        <v>309</v>
      </c>
      <c r="B139" s="295" t="s">
        <v>310</v>
      </c>
      <c r="C139" s="295" t="s">
        <v>834</v>
      </c>
      <c r="D139" s="373">
        <v>6439.5</v>
      </c>
    </row>
    <row r="140" spans="1:4" x14ac:dyDescent="0.25">
      <c r="A140" s="295" t="s">
        <v>311</v>
      </c>
      <c r="B140" s="295" t="s">
        <v>312</v>
      </c>
      <c r="C140" s="295" t="s">
        <v>843</v>
      </c>
      <c r="D140" s="373">
        <v>6439.5</v>
      </c>
    </row>
    <row r="141" spans="1:4" x14ac:dyDescent="0.25">
      <c r="A141" s="374" t="s">
        <v>143</v>
      </c>
      <c r="B141" s="375" t="s">
        <v>144</v>
      </c>
      <c r="C141" s="375" t="s">
        <v>1929</v>
      </c>
      <c r="D141" s="376">
        <v>66</v>
      </c>
    </row>
    <row r="142" spans="1:4" x14ac:dyDescent="0.25">
      <c r="A142" s="377" t="s">
        <v>320</v>
      </c>
      <c r="B142" s="296" t="s">
        <v>321</v>
      </c>
      <c r="C142" s="296" t="s">
        <v>1999</v>
      </c>
      <c r="D142" s="378">
        <v>32248</v>
      </c>
    </row>
    <row r="143" spans="1:4" x14ac:dyDescent="0.25">
      <c r="A143" s="377" t="s">
        <v>322</v>
      </c>
      <c r="B143" s="296" t="s">
        <v>323</v>
      </c>
      <c r="C143" s="296" t="s">
        <v>1313</v>
      </c>
      <c r="D143" s="378">
        <v>32238</v>
      </c>
    </row>
    <row r="144" spans="1:4" x14ac:dyDescent="0.25">
      <c r="A144" s="377" t="s">
        <v>324</v>
      </c>
      <c r="B144" s="296" t="s">
        <v>325</v>
      </c>
      <c r="C144" s="296" t="s">
        <v>1938</v>
      </c>
      <c r="D144" s="378">
        <v>32278.5</v>
      </c>
    </row>
    <row r="145" spans="1:4" x14ac:dyDescent="0.25">
      <c r="A145" s="377" t="s">
        <v>326</v>
      </c>
      <c r="B145" s="296" t="s">
        <v>327</v>
      </c>
      <c r="C145" s="296" t="s">
        <v>1939</v>
      </c>
      <c r="D145" s="378">
        <v>32268.5</v>
      </c>
    </row>
    <row r="146" spans="1:4" x14ac:dyDescent="0.25">
      <c r="A146" s="377" t="s">
        <v>328</v>
      </c>
      <c r="B146" s="296" t="s">
        <v>329</v>
      </c>
      <c r="C146" s="296" t="s">
        <v>1954</v>
      </c>
      <c r="D146" s="378">
        <v>33598.5</v>
      </c>
    </row>
    <row r="147" spans="1:4" x14ac:dyDescent="0.25">
      <c r="A147" s="377" t="s">
        <v>330</v>
      </c>
      <c r="B147" s="296" t="s">
        <v>331</v>
      </c>
      <c r="C147" s="296" t="s">
        <v>1953</v>
      </c>
      <c r="D147" s="378">
        <v>33588.5</v>
      </c>
    </row>
    <row r="148" spans="1:4" x14ac:dyDescent="0.25">
      <c r="A148" s="377" t="s">
        <v>332</v>
      </c>
      <c r="B148" s="296" t="s">
        <v>333</v>
      </c>
      <c r="C148" s="296" t="s">
        <v>1942</v>
      </c>
      <c r="D148" s="378">
        <v>33578</v>
      </c>
    </row>
    <row r="149" spans="1:4" x14ac:dyDescent="0.25">
      <c r="A149" s="377" t="s">
        <v>334</v>
      </c>
      <c r="B149" s="296" t="s">
        <v>335</v>
      </c>
      <c r="C149" s="296" t="s">
        <v>1943</v>
      </c>
      <c r="D149" s="378">
        <v>33568</v>
      </c>
    </row>
    <row r="150" spans="1:4" x14ac:dyDescent="0.25">
      <c r="A150" s="377" t="s">
        <v>1932</v>
      </c>
      <c r="B150" s="296" t="s">
        <v>579</v>
      </c>
      <c r="C150" s="296" t="s">
        <v>1946</v>
      </c>
      <c r="D150" s="378">
        <v>2</v>
      </c>
    </row>
    <row r="151" spans="1:4" x14ac:dyDescent="0.25">
      <c r="A151" s="377" t="s">
        <v>1933</v>
      </c>
      <c r="B151" s="296" t="s">
        <v>1935</v>
      </c>
      <c r="C151" s="296" t="s">
        <v>1944</v>
      </c>
      <c r="D151" s="378">
        <v>2</v>
      </c>
    </row>
    <row r="152" spans="1:4" x14ac:dyDescent="0.25">
      <c r="A152" s="377" t="s">
        <v>1934</v>
      </c>
      <c r="B152" s="296" t="s">
        <v>1937</v>
      </c>
      <c r="C152" s="296" t="s">
        <v>1950</v>
      </c>
      <c r="D152" s="378">
        <v>225</v>
      </c>
    </row>
    <row r="153" spans="1:4" x14ac:dyDescent="0.25">
      <c r="A153" s="379" t="s">
        <v>1931</v>
      </c>
      <c r="B153" s="380" t="s">
        <v>1936</v>
      </c>
      <c r="C153" s="380" t="s">
        <v>1945</v>
      </c>
      <c r="D153" s="381">
        <v>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5B15-9861-4EAB-B831-E4029FBC9F03}">
  <dimension ref="A1:L151"/>
  <sheetViews>
    <sheetView zoomScaleNormal="100" workbookViewId="0">
      <selection activeCell="B24" sqref="B24"/>
    </sheetView>
  </sheetViews>
  <sheetFormatPr defaultRowHeight="15" x14ac:dyDescent="0.25"/>
  <cols>
    <col min="1" max="1" width="68" bestFit="1" customWidth="1"/>
    <col min="2" max="2" width="18.28515625" bestFit="1" customWidth="1"/>
    <col min="3" max="3" width="20.28515625" bestFit="1" customWidth="1"/>
    <col min="4" max="4" width="9.140625" style="326"/>
  </cols>
  <sheetData>
    <row r="1" spans="1:5" x14ac:dyDescent="0.25">
      <c r="A1" s="299" t="s">
        <v>17</v>
      </c>
      <c r="B1" s="299" t="s">
        <v>18</v>
      </c>
      <c r="C1" s="299" t="s">
        <v>702</v>
      </c>
      <c r="D1" s="314">
        <v>3340.5</v>
      </c>
      <c r="E1">
        <v>1</v>
      </c>
    </row>
    <row r="2" spans="1:5" x14ac:dyDescent="0.25">
      <c r="A2" s="299" t="s">
        <v>19</v>
      </c>
      <c r="B2" s="299" t="s">
        <v>20</v>
      </c>
      <c r="C2" s="299" t="s">
        <v>709</v>
      </c>
      <c r="D2" s="314">
        <v>3215</v>
      </c>
      <c r="E2">
        <v>1</v>
      </c>
    </row>
    <row r="3" spans="1:5" x14ac:dyDescent="0.25">
      <c r="A3" s="299" t="s">
        <v>1962</v>
      </c>
      <c r="B3" s="299" t="s">
        <v>1963</v>
      </c>
      <c r="C3" s="299" t="s">
        <v>1972</v>
      </c>
      <c r="D3" s="314">
        <v>3215</v>
      </c>
      <c r="E3">
        <v>1</v>
      </c>
    </row>
    <row r="4" spans="1:5" x14ac:dyDescent="0.25">
      <c r="A4" s="299" t="s">
        <v>1964</v>
      </c>
      <c r="B4" s="299" t="s">
        <v>1965</v>
      </c>
      <c r="C4" s="299" t="s">
        <v>1973</v>
      </c>
      <c r="D4" s="314">
        <v>3215</v>
      </c>
      <c r="E4">
        <v>1</v>
      </c>
    </row>
    <row r="5" spans="1:5" x14ac:dyDescent="0.25">
      <c r="A5" s="299" t="s">
        <v>24</v>
      </c>
      <c r="B5" s="299" t="s">
        <v>25</v>
      </c>
      <c r="C5" s="299" t="s">
        <v>732</v>
      </c>
      <c r="D5" s="314">
        <v>3339</v>
      </c>
      <c r="E5">
        <v>1</v>
      </c>
    </row>
    <row r="6" spans="1:5" x14ac:dyDescent="0.25">
      <c r="A6" s="299" t="s">
        <v>27</v>
      </c>
      <c r="B6" s="299" t="s">
        <v>28</v>
      </c>
      <c r="C6" s="299" t="s">
        <v>752</v>
      </c>
      <c r="D6" s="314">
        <v>1490.5</v>
      </c>
      <c r="E6">
        <v>1</v>
      </c>
    </row>
    <row r="7" spans="1:5" x14ac:dyDescent="0.25">
      <c r="A7" s="299" t="s">
        <v>29</v>
      </c>
      <c r="B7" s="299" t="s">
        <v>1968</v>
      </c>
      <c r="C7" s="299" t="s">
        <v>1974</v>
      </c>
      <c r="D7" s="314">
        <v>1490.5</v>
      </c>
      <c r="E7">
        <v>1</v>
      </c>
    </row>
    <row r="8" spans="1:5" x14ac:dyDescent="0.25">
      <c r="A8" s="299" t="s">
        <v>31</v>
      </c>
      <c r="B8" s="299" t="s">
        <v>32</v>
      </c>
      <c r="C8" s="299" t="s">
        <v>749</v>
      </c>
      <c r="D8" s="314">
        <v>1490.5</v>
      </c>
      <c r="E8">
        <v>1</v>
      </c>
    </row>
    <row r="9" spans="1:5" x14ac:dyDescent="0.25">
      <c r="A9" s="299" t="s">
        <v>33</v>
      </c>
      <c r="B9" s="299" t="s">
        <v>1969</v>
      </c>
      <c r="C9" s="299" t="s">
        <v>1975</v>
      </c>
      <c r="D9" s="314">
        <v>1490.5</v>
      </c>
      <c r="E9">
        <v>1</v>
      </c>
    </row>
    <row r="10" spans="1:5" x14ac:dyDescent="0.25">
      <c r="A10" s="299" t="s">
        <v>36</v>
      </c>
      <c r="B10" s="299" t="s">
        <v>37</v>
      </c>
      <c r="C10" s="299" t="s">
        <v>784</v>
      </c>
      <c r="D10" s="314">
        <v>1412.5</v>
      </c>
      <c r="E10">
        <v>1</v>
      </c>
    </row>
    <row r="11" spans="1:5" x14ac:dyDescent="0.25">
      <c r="A11" s="299" t="s">
        <v>373</v>
      </c>
      <c r="B11" s="299" t="s">
        <v>374</v>
      </c>
      <c r="C11" s="299" t="s">
        <v>799</v>
      </c>
      <c r="D11" s="314">
        <v>1412.5</v>
      </c>
      <c r="E11">
        <v>1</v>
      </c>
    </row>
    <row r="12" spans="1:5" x14ac:dyDescent="0.25">
      <c r="A12" s="299" t="s">
        <v>38</v>
      </c>
      <c r="B12" s="299" t="s">
        <v>39</v>
      </c>
      <c r="C12" s="299" t="s">
        <v>793</v>
      </c>
      <c r="D12" s="314">
        <v>2622.5</v>
      </c>
      <c r="E12">
        <v>1</v>
      </c>
    </row>
    <row r="13" spans="1:5" x14ac:dyDescent="0.25">
      <c r="A13" s="299" t="s">
        <v>40</v>
      </c>
      <c r="B13" s="299" t="s">
        <v>41</v>
      </c>
      <c r="C13" s="299" t="s">
        <v>758</v>
      </c>
      <c r="D13" s="314">
        <v>1490.5</v>
      </c>
      <c r="E13">
        <v>1</v>
      </c>
    </row>
    <row r="14" spans="1:5" x14ac:dyDescent="0.25">
      <c r="A14" s="299" t="s">
        <v>42</v>
      </c>
      <c r="B14" s="299" t="s">
        <v>1970</v>
      </c>
      <c r="C14" s="299" t="s">
        <v>1976</v>
      </c>
      <c r="D14" s="314">
        <v>1490.5</v>
      </c>
      <c r="E14">
        <v>1</v>
      </c>
    </row>
    <row r="15" spans="1:5" x14ac:dyDescent="0.25">
      <c r="A15" s="299" t="s">
        <v>45</v>
      </c>
      <c r="B15" s="299" t="s">
        <v>46</v>
      </c>
      <c r="C15" s="299" t="s">
        <v>765</v>
      </c>
      <c r="D15" s="314">
        <v>3340.5</v>
      </c>
      <c r="E15">
        <v>1</v>
      </c>
    </row>
    <row r="16" spans="1:5" x14ac:dyDescent="0.25">
      <c r="A16" s="299" t="s">
        <v>47</v>
      </c>
      <c r="B16" s="299" t="s">
        <v>48</v>
      </c>
      <c r="C16" s="299" t="s">
        <v>768</v>
      </c>
      <c r="D16" s="314">
        <v>1490.5</v>
      </c>
      <c r="E16">
        <v>1</v>
      </c>
    </row>
    <row r="17" spans="1:5" x14ac:dyDescent="0.25">
      <c r="A17" s="299" t="s">
        <v>49</v>
      </c>
      <c r="B17" s="300" t="s">
        <v>1971</v>
      </c>
      <c r="C17" s="336" t="s">
        <v>1998</v>
      </c>
      <c r="D17" s="314">
        <v>1490.5</v>
      </c>
      <c r="E17">
        <v>1</v>
      </c>
    </row>
    <row r="18" spans="1:5" x14ac:dyDescent="0.25">
      <c r="A18" s="299" t="s">
        <v>52</v>
      </c>
      <c r="B18" s="299" t="s">
        <v>53</v>
      </c>
      <c r="C18" s="299" t="s">
        <v>822</v>
      </c>
      <c r="D18" s="314">
        <v>2591</v>
      </c>
      <c r="E18">
        <v>1</v>
      </c>
    </row>
    <row r="19" spans="1:5" x14ac:dyDescent="0.25">
      <c r="A19" s="301" t="s">
        <v>1966</v>
      </c>
      <c r="B19" s="301" t="s">
        <v>1967</v>
      </c>
      <c r="C19" s="301" t="s">
        <v>1978</v>
      </c>
      <c r="D19" s="314">
        <v>2591</v>
      </c>
      <c r="E19">
        <v>1</v>
      </c>
    </row>
    <row r="20" spans="1:5" x14ac:dyDescent="0.25">
      <c r="A20" s="302" t="s">
        <v>55</v>
      </c>
      <c r="B20" s="302" t="s">
        <v>56</v>
      </c>
      <c r="C20" s="302" t="s">
        <v>801</v>
      </c>
      <c r="D20" s="315">
        <v>1465.5</v>
      </c>
      <c r="E20">
        <v>1</v>
      </c>
    </row>
    <row r="21" spans="1:5" x14ac:dyDescent="0.25">
      <c r="A21" s="302" t="s">
        <v>57</v>
      </c>
      <c r="B21" s="302" t="s">
        <v>58</v>
      </c>
      <c r="C21" s="255" t="s">
        <v>812</v>
      </c>
      <c r="D21" s="315">
        <v>1741</v>
      </c>
      <c r="E21">
        <v>1</v>
      </c>
    </row>
    <row r="22" spans="1:5" x14ac:dyDescent="0.25">
      <c r="A22" s="302" t="s">
        <v>59</v>
      </c>
      <c r="B22" s="302" t="s">
        <v>60</v>
      </c>
      <c r="C22" s="302" t="s">
        <v>804</v>
      </c>
      <c r="D22" s="315">
        <v>1465.5</v>
      </c>
      <c r="E22">
        <v>1</v>
      </c>
    </row>
    <row r="23" spans="1:5" x14ac:dyDescent="0.25">
      <c r="A23" s="302" t="s">
        <v>61</v>
      </c>
      <c r="B23" s="302" t="s">
        <v>62</v>
      </c>
      <c r="C23" s="302" t="s">
        <v>814</v>
      </c>
      <c r="D23" s="315">
        <v>1741</v>
      </c>
      <c r="E23">
        <v>1</v>
      </c>
    </row>
    <row r="24" spans="1:5" x14ac:dyDescent="0.25">
      <c r="A24" s="302" t="s">
        <v>63</v>
      </c>
      <c r="B24" s="302" t="s">
        <v>64</v>
      </c>
      <c r="C24" s="302" t="s">
        <v>806</v>
      </c>
      <c r="D24" s="315">
        <v>1465.5</v>
      </c>
      <c r="E24">
        <v>1</v>
      </c>
    </row>
    <row r="25" spans="1:5" x14ac:dyDescent="0.25">
      <c r="A25" s="302" t="s">
        <v>65</v>
      </c>
      <c r="B25" s="302" t="s">
        <v>66</v>
      </c>
      <c r="C25" s="302" t="s">
        <v>816</v>
      </c>
      <c r="D25" s="315">
        <v>1741</v>
      </c>
      <c r="E25">
        <v>1</v>
      </c>
    </row>
    <row r="26" spans="1:5" x14ac:dyDescent="0.25">
      <c r="A26" s="302" t="s">
        <v>67</v>
      </c>
      <c r="B26" s="302" t="s">
        <v>68</v>
      </c>
      <c r="C26" s="302" t="s">
        <v>810</v>
      </c>
      <c r="D26" s="315">
        <v>1465.5</v>
      </c>
      <c r="E26">
        <v>1</v>
      </c>
    </row>
    <row r="27" spans="1:5" x14ac:dyDescent="0.25">
      <c r="A27" s="302" t="s">
        <v>69</v>
      </c>
      <c r="B27" s="302" t="s">
        <v>70</v>
      </c>
      <c r="C27" s="302" t="s">
        <v>820</v>
      </c>
      <c r="D27" s="315">
        <v>1741</v>
      </c>
      <c r="E27">
        <v>1</v>
      </c>
    </row>
    <row r="28" spans="1:5" x14ac:dyDescent="0.25">
      <c r="A28" s="302" t="s">
        <v>71</v>
      </c>
      <c r="B28" s="302" t="s">
        <v>72</v>
      </c>
      <c r="C28" s="302" t="s">
        <v>808</v>
      </c>
      <c r="D28" s="315">
        <v>1465.5</v>
      </c>
      <c r="E28">
        <v>1</v>
      </c>
    </row>
    <row r="29" spans="1:5" x14ac:dyDescent="0.25">
      <c r="A29" s="302" t="s">
        <v>73</v>
      </c>
      <c r="B29" s="302" t="s">
        <v>74</v>
      </c>
      <c r="C29" s="302" t="s">
        <v>818</v>
      </c>
      <c r="D29" s="315">
        <v>1741</v>
      </c>
      <c r="E29">
        <v>1</v>
      </c>
    </row>
    <row r="30" spans="1:5" x14ac:dyDescent="0.25">
      <c r="A30" s="302" t="s">
        <v>75</v>
      </c>
      <c r="B30" s="302" t="s">
        <v>76</v>
      </c>
      <c r="C30" s="302" t="s">
        <v>1870</v>
      </c>
      <c r="D30" s="315">
        <v>1465.5</v>
      </c>
      <c r="E30">
        <v>1</v>
      </c>
    </row>
    <row r="31" spans="1:5" x14ac:dyDescent="0.25">
      <c r="A31" s="302" t="s">
        <v>77</v>
      </c>
      <c r="B31" s="302" t="s">
        <v>78</v>
      </c>
      <c r="C31" s="302" t="s">
        <v>1876</v>
      </c>
      <c r="D31" s="315">
        <v>1741</v>
      </c>
      <c r="E31">
        <v>1</v>
      </c>
    </row>
    <row r="32" spans="1:5" x14ac:dyDescent="0.25">
      <c r="A32" s="302" t="s">
        <v>79</v>
      </c>
      <c r="B32" s="302" t="s">
        <v>80</v>
      </c>
      <c r="C32" s="302" t="s">
        <v>1865</v>
      </c>
      <c r="D32" s="315">
        <v>1465.5</v>
      </c>
      <c r="E32">
        <v>1</v>
      </c>
    </row>
    <row r="33" spans="1:8" x14ac:dyDescent="0.25">
      <c r="A33" s="302" t="s">
        <v>81</v>
      </c>
      <c r="B33" s="302" t="s">
        <v>82</v>
      </c>
      <c r="C33" s="302" t="s">
        <v>1872</v>
      </c>
      <c r="D33" s="315">
        <v>1741</v>
      </c>
      <c r="E33">
        <v>1</v>
      </c>
    </row>
    <row r="34" spans="1:8" x14ac:dyDescent="0.25">
      <c r="A34" s="302" t="s">
        <v>83</v>
      </c>
      <c r="B34" s="302" t="s">
        <v>84</v>
      </c>
      <c r="C34" s="302" t="s">
        <v>1868</v>
      </c>
      <c r="D34" s="315">
        <v>1465.5</v>
      </c>
      <c r="E34">
        <v>1</v>
      </c>
    </row>
    <row r="35" spans="1:8" x14ac:dyDescent="0.25">
      <c r="A35" s="302" t="s">
        <v>85</v>
      </c>
      <c r="B35" s="302" t="s">
        <v>86</v>
      </c>
      <c r="C35" s="302" t="s">
        <v>1874</v>
      </c>
      <c r="D35" s="315">
        <v>1741</v>
      </c>
      <c r="E35">
        <v>1</v>
      </c>
    </row>
    <row r="36" spans="1:8" x14ac:dyDescent="0.25">
      <c r="A36" s="298" t="s">
        <v>92</v>
      </c>
      <c r="B36" s="298" t="s">
        <v>93</v>
      </c>
      <c r="C36" s="298" t="s">
        <v>1840</v>
      </c>
      <c r="D36" s="316">
        <v>668</v>
      </c>
      <c r="E36">
        <v>1</v>
      </c>
    </row>
    <row r="37" spans="1:8" s="326" customFormat="1" x14ac:dyDescent="0.25">
      <c r="A37" s="327" t="s">
        <v>1981</v>
      </c>
      <c r="B37" s="327" t="s">
        <v>1982</v>
      </c>
      <c r="C37" s="327"/>
      <c r="D37" s="316">
        <v>37.5</v>
      </c>
      <c r="E37" s="326">
        <v>1</v>
      </c>
    </row>
    <row r="38" spans="1:8" x14ac:dyDescent="0.25">
      <c r="A38" s="298" t="s">
        <v>1984</v>
      </c>
      <c r="B38" s="298" t="s">
        <v>89</v>
      </c>
      <c r="C38" s="298" t="s">
        <v>1799</v>
      </c>
      <c r="D38" s="316">
        <v>27.5</v>
      </c>
      <c r="E38">
        <v>1</v>
      </c>
    </row>
    <row r="39" spans="1:8" s="326" customFormat="1" x14ac:dyDescent="0.25">
      <c r="A39" s="327" t="s">
        <v>1983</v>
      </c>
      <c r="B39" s="327" t="s">
        <v>1985</v>
      </c>
      <c r="C39" s="327"/>
      <c r="D39" s="316">
        <v>35.5</v>
      </c>
      <c r="E39" s="326">
        <v>1</v>
      </c>
    </row>
    <row r="40" spans="1:8" s="326" customFormat="1" x14ac:dyDescent="0.25">
      <c r="A40" s="327" t="s">
        <v>1987</v>
      </c>
      <c r="B40" s="327" t="s">
        <v>1988</v>
      </c>
      <c r="C40" s="327"/>
      <c r="D40" s="316">
        <v>23</v>
      </c>
      <c r="E40" s="326">
        <v>1</v>
      </c>
    </row>
    <row r="41" spans="1:8" s="326" customFormat="1" x14ac:dyDescent="0.25">
      <c r="A41" s="327" t="s">
        <v>1986</v>
      </c>
      <c r="B41" s="327" t="s">
        <v>1989</v>
      </c>
      <c r="C41" s="327"/>
      <c r="D41" s="316">
        <v>8</v>
      </c>
      <c r="E41" s="326">
        <v>1</v>
      </c>
    </row>
    <row r="42" spans="1:8" s="326" customFormat="1" x14ac:dyDescent="0.25">
      <c r="A42" s="327" t="s">
        <v>1990</v>
      </c>
      <c r="B42" s="327" t="s">
        <v>1991</v>
      </c>
      <c r="C42" s="327"/>
      <c r="D42" s="316">
        <v>32.5</v>
      </c>
      <c r="E42" s="326">
        <v>1</v>
      </c>
      <c r="H42" s="334"/>
    </row>
    <row r="43" spans="1:8" x14ac:dyDescent="0.25">
      <c r="A43" s="303" t="s">
        <v>105</v>
      </c>
      <c r="B43" s="303" t="s">
        <v>106</v>
      </c>
      <c r="C43" s="303" t="s">
        <v>876</v>
      </c>
      <c r="D43" s="317">
        <v>51232</v>
      </c>
      <c r="E43" s="326">
        <v>1</v>
      </c>
    </row>
    <row r="44" spans="1:8" x14ac:dyDescent="0.25">
      <c r="A44" s="303" t="s">
        <v>107</v>
      </c>
      <c r="B44" s="303" t="s">
        <v>108</v>
      </c>
      <c r="C44" s="303" t="s">
        <v>871</v>
      </c>
      <c r="D44" s="317">
        <v>51450</v>
      </c>
      <c r="E44" s="326">
        <v>1</v>
      </c>
      <c r="H44" s="335"/>
    </row>
    <row r="45" spans="1:8" x14ac:dyDescent="0.25">
      <c r="A45" s="303" t="s">
        <v>110</v>
      </c>
      <c r="B45" s="303" t="s">
        <v>111</v>
      </c>
      <c r="C45" s="303" t="s">
        <v>931</v>
      </c>
      <c r="D45" s="317">
        <v>53923.5</v>
      </c>
      <c r="E45" s="326">
        <v>1</v>
      </c>
    </row>
    <row r="46" spans="1:8" x14ac:dyDescent="0.25">
      <c r="A46" s="303" t="s">
        <v>112</v>
      </c>
      <c r="B46" s="303" t="s">
        <v>113</v>
      </c>
      <c r="C46" s="303" t="s">
        <v>925</v>
      </c>
      <c r="D46" s="317">
        <v>53930.5</v>
      </c>
      <c r="E46" s="326">
        <v>1</v>
      </c>
    </row>
    <row r="47" spans="1:8" x14ac:dyDescent="0.25">
      <c r="A47" s="303" t="s">
        <v>116</v>
      </c>
      <c r="B47" s="303" t="s">
        <v>117</v>
      </c>
      <c r="C47" s="303" t="s">
        <v>878</v>
      </c>
      <c r="D47" s="317">
        <v>36054.5</v>
      </c>
      <c r="E47" s="326">
        <v>1</v>
      </c>
    </row>
    <row r="48" spans="1:8" x14ac:dyDescent="0.25">
      <c r="A48" s="303" t="s">
        <v>118</v>
      </c>
      <c r="B48" s="303" t="s">
        <v>119</v>
      </c>
      <c r="C48" s="303" t="s">
        <v>873</v>
      </c>
      <c r="D48" s="317">
        <v>38650.5</v>
      </c>
      <c r="E48" s="326">
        <v>1</v>
      </c>
    </row>
    <row r="49" spans="1:5" x14ac:dyDescent="0.25">
      <c r="A49" s="303" t="s">
        <v>120</v>
      </c>
      <c r="B49" s="303" t="s">
        <v>121</v>
      </c>
      <c r="C49" s="303" t="s">
        <v>933</v>
      </c>
      <c r="D49" s="317">
        <v>38535</v>
      </c>
      <c r="E49" s="326">
        <v>1</v>
      </c>
    </row>
    <row r="50" spans="1:5" x14ac:dyDescent="0.25">
      <c r="A50" s="303" t="s">
        <v>122</v>
      </c>
      <c r="B50" s="303" t="s">
        <v>123</v>
      </c>
      <c r="C50" s="303" t="s">
        <v>928</v>
      </c>
      <c r="D50" s="317">
        <v>39798.5</v>
      </c>
      <c r="E50" s="326">
        <v>1</v>
      </c>
    </row>
    <row r="51" spans="1:5" x14ac:dyDescent="0.25">
      <c r="A51" s="303" t="s">
        <v>126</v>
      </c>
      <c r="B51" s="303" t="s">
        <v>456</v>
      </c>
      <c r="C51" s="303" t="s">
        <v>935</v>
      </c>
      <c r="D51" s="317">
        <v>27103</v>
      </c>
      <c r="E51" s="326">
        <v>1</v>
      </c>
    </row>
    <row r="52" spans="1:5" x14ac:dyDescent="0.25">
      <c r="A52" s="303" t="s">
        <v>128</v>
      </c>
      <c r="B52" s="303" t="s">
        <v>129</v>
      </c>
      <c r="C52" s="303" t="s">
        <v>986</v>
      </c>
      <c r="D52" s="317">
        <v>31186</v>
      </c>
      <c r="E52" s="326">
        <v>1</v>
      </c>
    </row>
    <row r="53" spans="1:5" x14ac:dyDescent="0.25">
      <c r="A53" s="304" t="s">
        <v>131</v>
      </c>
      <c r="B53" s="304" t="s">
        <v>1979</v>
      </c>
      <c r="C53" s="304" t="s">
        <v>1980</v>
      </c>
      <c r="D53" s="318">
        <v>2181.5</v>
      </c>
      <c r="E53" s="326">
        <v>1</v>
      </c>
    </row>
    <row r="54" spans="1:5" x14ac:dyDescent="0.25">
      <c r="A54" s="304" t="s">
        <v>133</v>
      </c>
      <c r="B54" s="304" t="s">
        <v>134</v>
      </c>
      <c r="C54" s="304" t="s">
        <v>1727</v>
      </c>
      <c r="D54" s="318">
        <v>5143</v>
      </c>
      <c r="E54" s="326">
        <v>1</v>
      </c>
    </row>
    <row r="55" spans="1:5" x14ac:dyDescent="0.25">
      <c r="A55" s="305" t="s">
        <v>136</v>
      </c>
      <c r="B55" s="305" t="s">
        <v>137</v>
      </c>
      <c r="C55" s="305" t="s">
        <v>1926</v>
      </c>
      <c r="D55" s="319">
        <v>66</v>
      </c>
      <c r="E55" s="326">
        <v>1</v>
      </c>
    </row>
    <row r="56" spans="1:5" x14ac:dyDescent="0.25">
      <c r="A56" s="305" t="s">
        <v>138</v>
      </c>
      <c r="B56" s="305" t="s">
        <v>139</v>
      </c>
      <c r="C56" s="305" t="s">
        <v>1927</v>
      </c>
      <c r="D56" s="319">
        <v>66</v>
      </c>
      <c r="E56" s="326">
        <v>1</v>
      </c>
    </row>
    <row r="57" spans="1:5" x14ac:dyDescent="0.25">
      <c r="A57" s="305" t="s">
        <v>140</v>
      </c>
      <c r="B57" s="305" t="s">
        <v>141</v>
      </c>
      <c r="C57" s="305" t="s">
        <v>1928</v>
      </c>
      <c r="D57" s="319">
        <v>66</v>
      </c>
      <c r="E57" s="326">
        <v>1</v>
      </c>
    </row>
    <row r="58" spans="1:5" x14ac:dyDescent="0.25">
      <c r="A58" s="305" t="s">
        <v>145</v>
      </c>
      <c r="B58" s="305" t="s">
        <v>146</v>
      </c>
      <c r="C58" s="305" t="s">
        <v>1930</v>
      </c>
      <c r="D58" s="319">
        <v>66</v>
      </c>
      <c r="E58" s="326">
        <v>1</v>
      </c>
    </row>
    <row r="59" spans="1:5" x14ac:dyDescent="0.25">
      <c r="A59" s="306" t="s">
        <v>150</v>
      </c>
      <c r="B59" s="306" t="s">
        <v>151</v>
      </c>
      <c r="C59" s="306" t="s">
        <v>980</v>
      </c>
      <c r="D59" s="320">
        <v>7301.5</v>
      </c>
      <c r="E59">
        <v>1</v>
      </c>
    </row>
    <row r="60" spans="1:5" x14ac:dyDescent="0.25">
      <c r="A60" s="306" t="s">
        <v>152</v>
      </c>
      <c r="B60" s="306" t="s">
        <v>153</v>
      </c>
      <c r="C60" s="306" t="s">
        <v>997</v>
      </c>
      <c r="D60" s="320">
        <v>7524.5</v>
      </c>
      <c r="E60">
        <v>1</v>
      </c>
    </row>
    <row r="61" spans="1:5" x14ac:dyDescent="0.25">
      <c r="A61" s="306" t="s">
        <v>155</v>
      </c>
      <c r="B61" s="306" t="s">
        <v>156</v>
      </c>
      <c r="C61" s="306" t="s">
        <v>1086</v>
      </c>
      <c r="D61" s="320">
        <v>6818</v>
      </c>
      <c r="E61">
        <v>1</v>
      </c>
    </row>
    <row r="62" spans="1:5" x14ac:dyDescent="0.25">
      <c r="A62" s="306" t="s">
        <v>157</v>
      </c>
      <c r="B62" s="306" t="s">
        <v>158</v>
      </c>
      <c r="C62" s="306" t="s">
        <v>1089</v>
      </c>
      <c r="D62" s="320">
        <v>2737.5</v>
      </c>
      <c r="E62">
        <v>1</v>
      </c>
    </row>
    <row r="63" spans="1:5" x14ac:dyDescent="0.25">
      <c r="A63" s="306" t="s">
        <v>168</v>
      </c>
      <c r="B63" s="306" t="s">
        <v>169</v>
      </c>
      <c r="C63" s="306" t="s">
        <v>1206</v>
      </c>
      <c r="D63" s="320">
        <v>7576.5</v>
      </c>
      <c r="E63">
        <v>1</v>
      </c>
    </row>
    <row r="64" spans="1:5" x14ac:dyDescent="0.25">
      <c r="A64" s="306" t="s">
        <v>170</v>
      </c>
      <c r="B64" s="306" t="s">
        <v>171</v>
      </c>
      <c r="C64" s="306" t="s">
        <v>1951</v>
      </c>
      <c r="D64" s="320">
        <v>1794</v>
      </c>
      <c r="E64">
        <v>1</v>
      </c>
    </row>
    <row r="65" spans="1:12" x14ac:dyDescent="0.25">
      <c r="A65" s="306" t="s">
        <v>162</v>
      </c>
      <c r="B65" s="306" t="s">
        <v>163</v>
      </c>
      <c r="C65" s="306" t="s">
        <v>1078</v>
      </c>
      <c r="D65" s="320">
        <v>7576.5</v>
      </c>
      <c r="E65">
        <v>1</v>
      </c>
      <c r="F65" s="333"/>
    </row>
    <row r="66" spans="1:12" x14ac:dyDescent="0.25">
      <c r="A66" s="306" t="s">
        <v>164</v>
      </c>
      <c r="B66" s="306" t="s">
        <v>165</v>
      </c>
      <c r="C66" s="306" t="s">
        <v>1023</v>
      </c>
      <c r="D66" s="320">
        <v>1794</v>
      </c>
      <c r="E66">
        <v>1</v>
      </c>
      <c r="F66" s="333"/>
    </row>
    <row r="67" spans="1:12" x14ac:dyDescent="0.25">
      <c r="A67" s="306" t="s">
        <v>166</v>
      </c>
      <c r="B67" s="306" t="s">
        <v>167</v>
      </c>
      <c r="C67" s="306" t="s">
        <v>1106</v>
      </c>
      <c r="D67" s="320">
        <v>2792.5</v>
      </c>
      <c r="E67">
        <v>1</v>
      </c>
      <c r="F67" s="333"/>
    </row>
    <row r="68" spans="1:12" x14ac:dyDescent="0.25">
      <c r="A68" s="306" t="s">
        <v>172</v>
      </c>
      <c r="B68" s="306" t="s">
        <v>173</v>
      </c>
      <c r="C68" s="306" t="s">
        <v>1185</v>
      </c>
      <c r="D68" s="320">
        <v>177.5</v>
      </c>
      <c r="E68">
        <v>1</v>
      </c>
      <c r="J68" s="329"/>
      <c r="K68" s="329"/>
      <c r="L68" s="330"/>
    </row>
    <row r="69" spans="1:12" x14ac:dyDescent="0.25">
      <c r="A69" s="306" t="s">
        <v>174</v>
      </c>
      <c r="B69" s="306" t="s">
        <v>175</v>
      </c>
      <c r="C69" s="306" t="s">
        <v>1183</v>
      </c>
      <c r="D69" s="320">
        <v>151</v>
      </c>
      <c r="E69">
        <v>1</v>
      </c>
      <c r="J69" s="329"/>
      <c r="K69" s="329"/>
      <c r="L69" s="330"/>
    </row>
    <row r="70" spans="1:12" x14ac:dyDescent="0.25">
      <c r="A70" s="306" t="s">
        <v>176</v>
      </c>
      <c r="B70" s="306" t="s">
        <v>177</v>
      </c>
      <c r="C70" s="306" t="s">
        <v>1116</v>
      </c>
      <c r="D70" s="320">
        <v>898</v>
      </c>
      <c r="E70">
        <v>1</v>
      </c>
      <c r="J70" s="329"/>
      <c r="K70" s="329"/>
      <c r="L70" s="330"/>
    </row>
    <row r="71" spans="1:12" x14ac:dyDescent="0.25">
      <c r="A71" s="306" t="s">
        <v>178</v>
      </c>
      <c r="B71" s="306" t="s">
        <v>179</v>
      </c>
      <c r="C71" s="306" t="s">
        <v>1014</v>
      </c>
      <c r="D71" s="320">
        <v>898</v>
      </c>
      <c r="E71">
        <v>1</v>
      </c>
      <c r="J71" s="329"/>
      <c r="K71" s="329"/>
      <c r="L71" s="330"/>
    </row>
    <row r="72" spans="1:12" x14ac:dyDescent="0.25">
      <c r="A72" s="306" t="s">
        <v>180</v>
      </c>
      <c r="B72" s="306" t="s">
        <v>181</v>
      </c>
      <c r="C72" s="306" t="s">
        <v>1019</v>
      </c>
      <c r="D72" s="320">
        <v>7657</v>
      </c>
      <c r="E72">
        <v>1</v>
      </c>
      <c r="J72" s="329"/>
      <c r="K72" s="329"/>
      <c r="L72" s="330"/>
    </row>
    <row r="73" spans="1:12" x14ac:dyDescent="0.25">
      <c r="A73" s="306" t="s">
        <v>188</v>
      </c>
      <c r="B73" s="306" t="s">
        <v>189</v>
      </c>
      <c r="C73" s="306" t="s">
        <v>1098</v>
      </c>
      <c r="D73" s="320">
        <v>2272</v>
      </c>
      <c r="E73">
        <v>1</v>
      </c>
    </row>
    <row r="74" spans="1:12" x14ac:dyDescent="0.25">
      <c r="A74" s="306" t="s">
        <v>190</v>
      </c>
      <c r="B74" s="306" t="s">
        <v>191</v>
      </c>
      <c r="C74" s="306" t="s">
        <v>1104</v>
      </c>
      <c r="D74" s="320">
        <v>3370</v>
      </c>
      <c r="E74">
        <v>1</v>
      </c>
    </row>
    <row r="75" spans="1:12" x14ac:dyDescent="0.25">
      <c r="A75" s="306" t="s">
        <v>192</v>
      </c>
      <c r="B75" s="306" t="s">
        <v>193</v>
      </c>
      <c r="C75" s="306" t="s">
        <v>1091</v>
      </c>
      <c r="D75" s="320">
        <v>3866</v>
      </c>
      <c r="E75">
        <v>1</v>
      </c>
    </row>
    <row r="76" spans="1:12" x14ac:dyDescent="0.25">
      <c r="A76" s="306" t="s">
        <v>195</v>
      </c>
      <c r="B76" s="306" t="s">
        <v>196</v>
      </c>
      <c r="C76" s="306" t="s">
        <v>1674</v>
      </c>
      <c r="D76" s="320">
        <v>4030</v>
      </c>
      <c r="E76">
        <v>1</v>
      </c>
    </row>
    <row r="77" spans="1:12" x14ac:dyDescent="0.25">
      <c r="A77" s="306" t="s">
        <v>197</v>
      </c>
      <c r="B77" s="306" t="s">
        <v>198</v>
      </c>
      <c r="C77" s="306" t="s">
        <v>1677</v>
      </c>
      <c r="D77" s="320">
        <v>4963</v>
      </c>
      <c r="E77">
        <v>1</v>
      </c>
    </row>
    <row r="78" spans="1:12" x14ac:dyDescent="0.25">
      <c r="A78" s="306" t="s">
        <v>200</v>
      </c>
      <c r="B78" s="306" t="s">
        <v>201</v>
      </c>
      <c r="C78" s="306" t="s">
        <v>1919</v>
      </c>
      <c r="D78" s="320">
        <v>572.5</v>
      </c>
      <c r="E78">
        <v>1</v>
      </c>
    </row>
    <row r="79" spans="1:12" x14ac:dyDescent="0.25">
      <c r="A79" s="307" t="s">
        <v>1955</v>
      </c>
      <c r="B79" s="307" t="s">
        <v>206</v>
      </c>
      <c r="C79" s="307" t="s">
        <v>1046</v>
      </c>
      <c r="D79" s="321">
        <v>6371</v>
      </c>
      <c r="E79">
        <v>1</v>
      </c>
    </row>
    <row r="80" spans="1:12" x14ac:dyDescent="0.25">
      <c r="A80" s="307" t="s">
        <v>1956</v>
      </c>
      <c r="B80" s="307" t="s">
        <v>208</v>
      </c>
      <c r="C80" s="307" t="s">
        <v>1050</v>
      </c>
      <c r="D80" s="321">
        <v>8857</v>
      </c>
      <c r="E80">
        <v>1</v>
      </c>
    </row>
    <row r="81" spans="1:10" x14ac:dyDescent="0.25">
      <c r="A81" s="307" t="s">
        <v>1957</v>
      </c>
      <c r="B81" s="307" t="s">
        <v>210</v>
      </c>
      <c r="C81" s="307" t="s">
        <v>1044</v>
      </c>
      <c r="D81" s="321">
        <v>10838.5</v>
      </c>
      <c r="E81" s="244">
        <v>1</v>
      </c>
      <c r="H81" s="244"/>
      <c r="I81" s="244"/>
      <c r="J81" s="244"/>
    </row>
    <row r="82" spans="1:10" x14ac:dyDescent="0.25">
      <c r="A82" s="308" t="s">
        <v>1958</v>
      </c>
      <c r="B82" s="308" t="s">
        <v>220</v>
      </c>
      <c r="C82" s="308" t="s">
        <v>1303</v>
      </c>
      <c r="D82" s="322">
        <v>2480</v>
      </c>
      <c r="E82">
        <v>1</v>
      </c>
    </row>
    <row r="83" spans="1:10" x14ac:dyDescent="0.25">
      <c r="A83" s="308" t="s">
        <v>221</v>
      </c>
      <c r="B83" s="308" t="s">
        <v>222</v>
      </c>
      <c r="C83" s="308" t="s">
        <v>1309</v>
      </c>
      <c r="D83" s="322">
        <v>6121</v>
      </c>
      <c r="E83">
        <v>1</v>
      </c>
    </row>
    <row r="84" spans="1:10" x14ac:dyDescent="0.25">
      <c r="A84" s="308" t="s">
        <v>223</v>
      </c>
      <c r="B84" s="308" t="s">
        <v>224</v>
      </c>
      <c r="C84" s="308" t="s">
        <v>1341</v>
      </c>
      <c r="D84" s="322">
        <v>367.5</v>
      </c>
      <c r="E84">
        <v>1</v>
      </c>
    </row>
    <row r="85" spans="1:10" x14ac:dyDescent="0.25">
      <c r="A85" s="308" t="s">
        <v>225</v>
      </c>
      <c r="B85" s="308" t="s">
        <v>226</v>
      </c>
      <c r="C85" s="308" t="s">
        <v>1311</v>
      </c>
      <c r="D85" s="322">
        <v>13673</v>
      </c>
      <c r="E85">
        <v>1</v>
      </c>
    </row>
    <row r="86" spans="1:10" x14ac:dyDescent="0.25">
      <c r="A86" s="309" t="s">
        <v>1959</v>
      </c>
      <c r="B86" s="309" t="s">
        <v>1960</v>
      </c>
      <c r="C86" s="310" t="s">
        <v>1961</v>
      </c>
      <c r="D86" s="322">
        <v>26017</v>
      </c>
      <c r="E86">
        <v>1</v>
      </c>
    </row>
    <row r="87" spans="1:10" x14ac:dyDescent="0.25">
      <c r="A87" s="308" t="s">
        <v>227</v>
      </c>
      <c r="B87" s="308" t="s">
        <v>228</v>
      </c>
      <c r="C87" s="308" t="s">
        <v>1317</v>
      </c>
      <c r="D87" s="322">
        <v>15585.5</v>
      </c>
      <c r="E87">
        <v>1</v>
      </c>
    </row>
    <row r="88" spans="1:10" x14ac:dyDescent="0.25">
      <c r="A88" s="308" t="s">
        <v>229</v>
      </c>
      <c r="B88" s="308" t="s">
        <v>230</v>
      </c>
      <c r="C88" s="308" t="s">
        <v>1319</v>
      </c>
      <c r="D88" s="322">
        <v>74937.5</v>
      </c>
      <c r="E88">
        <v>1</v>
      </c>
    </row>
    <row r="89" spans="1:10" x14ac:dyDescent="0.25">
      <c r="A89" s="308" t="s">
        <v>231</v>
      </c>
      <c r="B89" s="308" t="s">
        <v>232</v>
      </c>
      <c r="C89" s="308" t="s">
        <v>1321</v>
      </c>
      <c r="D89" s="322">
        <v>19046.5</v>
      </c>
      <c r="E89">
        <v>1</v>
      </c>
    </row>
    <row r="90" spans="1:10" x14ac:dyDescent="0.25">
      <c r="A90" s="308" t="s">
        <v>233</v>
      </c>
      <c r="B90" s="308" t="s">
        <v>234</v>
      </c>
      <c r="C90" s="308" t="s">
        <v>1323</v>
      </c>
      <c r="D90" s="322">
        <v>22760.5</v>
      </c>
      <c r="E90">
        <v>1</v>
      </c>
    </row>
    <row r="91" spans="1:10" x14ac:dyDescent="0.25">
      <c r="A91" s="308" t="s">
        <v>235</v>
      </c>
      <c r="B91" s="308" t="s">
        <v>236</v>
      </c>
      <c r="C91" s="308" t="s">
        <v>1327</v>
      </c>
      <c r="D91" s="322">
        <v>25837.5</v>
      </c>
      <c r="E91">
        <v>1</v>
      </c>
    </row>
    <row r="92" spans="1:10" x14ac:dyDescent="0.25">
      <c r="A92" s="308" t="s">
        <v>237</v>
      </c>
      <c r="B92" s="308" t="s">
        <v>238</v>
      </c>
      <c r="C92" s="308" t="s">
        <v>1329</v>
      </c>
      <c r="D92" s="322">
        <v>28478.5</v>
      </c>
      <c r="E92">
        <v>1</v>
      </c>
    </row>
    <row r="93" spans="1:10" x14ac:dyDescent="0.25">
      <c r="A93" s="308" t="s">
        <v>239</v>
      </c>
      <c r="B93" s="308" t="s">
        <v>240</v>
      </c>
      <c r="C93" s="308" t="s">
        <v>1331</v>
      </c>
      <c r="D93" s="322">
        <v>38013.5</v>
      </c>
      <c r="E93">
        <v>1</v>
      </c>
    </row>
    <row r="94" spans="1:10" x14ac:dyDescent="0.25">
      <c r="A94" s="308" t="s">
        <v>241</v>
      </c>
      <c r="B94" s="308" t="s">
        <v>242</v>
      </c>
      <c r="C94" s="308" t="s">
        <v>1920</v>
      </c>
      <c r="D94" s="322">
        <v>709</v>
      </c>
      <c r="E94">
        <v>1</v>
      </c>
    </row>
    <row r="95" spans="1:10" x14ac:dyDescent="0.25">
      <c r="A95" s="308" t="s">
        <v>244</v>
      </c>
      <c r="B95" s="308" t="s">
        <v>245</v>
      </c>
      <c r="C95" s="308" t="s">
        <v>1921</v>
      </c>
      <c r="D95" s="322">
        <v>2222</v>
      </c>
      <c r="E95">
        <v>1</v>
      </c>
    </row>
    <row r="96" spans="1:10" x14ac:dyDescent="0.25">
      <c r="A96" s="308" t="s">
        <v>246</v>
      </c>
      <c r="B96" s="308" t="s">
        <v>247</v>
      </c>
      <c r="C96" s="308" t="s">
        <v>1880</v>
      </c>
      <c r="D96" s="322">
        <v>1032</v>
      </c>
      <c r="E96">
        <v>1</v>
      </c>
    </row>
    <row r="97" spans="1:5" x14ac:dyDescent="0.25">
      <c r="A97" s="337" t="s">
        <v>1285</v>
      </c>
      <c r="B97" s="338" t="s">
        <v>1297</v>
      </c>
      <c r="C97" s="338" t="s">
        <v>1284</v>
      </c>
      <c r="D97" s="339">
        <v>33244.5</v>
      </c>
    </row>
    <row r="98" spans="1:5" x14ac:dyDescent="0.25">
      <c r="A98" s="340" t="s">
        <v>1300</v>
      </c>
      <c r="B98" s="308" t="s">
        <v>1297</v>
      </c>
      <c r="C98" s="308" t="s">
        <v>1299</v>
      </c>
      <c r="D98" s="341">
        <v>39076</v>
      </c>
    </row>
    <row r="99" spans="1:5" x14ac:dyDescent="0.25">
      <c r="A99" s="340" t="s">
        <v>1289</v>
      </c>
      <c r="B99" s="308" t="s">
        <v>1297</v>
      </c>
      <c r="C99" s="308" t="s">
        <v>1288</v>
      </c>
      <c r="D99" s="341">
        <v>48170</v>
      </c>
    </row>
    <row r="100" spans="1:5" x14ac:dyDescent="0.25">
      <c r="A100" s="340" t="s">
        <v>1292</v>
      </c>
      <c r="B100" s="308" t="s">
        <v>1291</v>
      </c>
      <c r="C100" s="308" t="s">
        <v>1290</v>
      </c>
      <c r="D100" s="341">
        <v>39381.5</v>
      </c>
    </row>
    <row r="101" spans="1:5" x14ac:dyDescent="0.25">
      <c r="A101" s="340" t="s">
        <v>1296</v>
      </c>
      <c r="B101" s="308" t="s">
        <v>1297</v>
      </c>
      <c r="C101" s="308" t="s">
        <v>1295</v>
      </c>
      <c r="D101" s="341">
        <v>57134</v>
      </c>
    </row>
    <row r="102" spans="1:5" x14ac:dyDescent="0.25">
      <c r="A102" s="342" t="s">
        <v>1298</v>
      </c>
      <c r="B102" s="343" t="s">
        <v>1297</v>
      </c>
      <c r="C102" s="343" t="s">
        <v>1297</v>
      </c>
      <c r="D102" s="344">
        <v>62405</v>
      </c>
    </row>
    <row r="103" spans="1:5" x14ac:dyDescent="0.25">
      <c r="A103" s="328" t="s">
        <v>1993</v>
      </c>
      <c r="B103" s="311" t="s">
        <v>267</v>
      </c>
      <c r="C103" s="311" t="s">
        <v>1768</v>
      </c>
      <c r="D103" s="323">
        <v>38.5</v>
      </c>
      <c r="E103">
        <v>1</v>
      </c>
    </row>
    <row r="104" spans="1:5" x14ac:dyDescent="0.25">
      <c r="A104" s="331" t="s">
        <v>1992</v>
      </c>
      <c r="B104" s="331" t="s">
        <v>1994</v>
      </c>
      <c r="C104" s="331"/>
      <c r="D104" s="332">
        <v>16.5</v>
      </c>
      <c r="E104">
        <v>1</v>
      </c>
    </row>
    <row r="105" spans="1:5" x14ac:dyDescent="0.25">
      <c r="A105" s="328" t="s">
        <v>1995</v>
      </c>
      <c r="B105" s="311" t="s">
        <v>269</v>
      </c>
      <c r="C105" s="311" t="s">
        <v>1771</v>
      </c>
      <c r="D105" s="323">
        <v>38.5</v>
      </c>
      <c r="E105">
        <v>1</v>
      </c>
    </row>
    <row r="106" spans="1:5" x14ac:dyDescent="0.25">
      <c r="A106" s="331" t="s">
        <v>1996</v>
      </c>
      <c r="B106" s="331" t="s">
        <v>1997</v>
      </c>
      <c r="C106" s="331"/>
      <c r="D106" s="332">
        <v>12</v>
      </c>
      <c r="E106">
        <v>1</v>
      </c>
    </row>
    <row r="107" spans="1:5" x14ac:dyDescent="0.25">
      <c r="A107" s="311" t="s">
        <v>272</v>
      </c>
      <c r="B107" s="311" t="s">
        <v>273</v>
      </c>
      <c r="C107" s="311" t="s">
        <v>1852</v>
      </c>
      <c r="D107" s="323">
        <v>219</v>
      </c>
      <c r="E107">
        <v>1</v>
      </c>
    </row>
    <row r="108" spans="1:5" x14ac:dyDescent="0.25">
      <c r="A108" s="311" t="s">
        <v>274</v>
      </c>
      <c r="B108" s="311" t="s">
        <v>275</v>
      </c>
      <c r="C108" s="311" t="s">
        <v>1810</v>
      </c>
      <c r="D108" s="323">
        <v>624.5</v>
      </c>
      <c r="E108">
        <v>1</v>
      </c>
    </row>
    <row r="109" spans="1:5" x14ac:dyDescent="0.25">
      <c r="A109" s="311" t="s">
        <v>276</v>
      </c>
      <c r="B109" s="311" t="s">
        <v>277</v>
      </c>
      <c r="C109" s="311" t="s">
        <v>1829</v>
      </c>
      <c r="D109" s="323">
        <v>573</v>
      </c>
      <c r="E109">
        <v>1</v>
      </c>
    </row>
    <row r="110" spans="1:5" x14ac:dyDescent="0.25">
      <c r="A110" s="311" t="s">
        <v>278</v>
      </c>
      <c r="B110" s="311" t="s">
        <v>279</v>
      </c>
      <c r="C110" s="311" t="s">
        <v>1670</v>
      </c>
      <c r="D110" s="323">
        <v>375</v>
      </c>
      <c r="E110">
        <v>1</v>
      </c>
    </row>
    <row r="111" spans="1:5" x14ac:dyDescent="0.25">
      <c r="A111" s="311" t="s">
        <v>280</v>
      </c>
      <c r="B111" s="311" t="s">
        <v>281</v>
      </c>
      <c r="C111" s="311" t="s">
        <v>1663</v>
      </c>
      <c r="D111" s="323">
        <v>128</v>
      </c>
      <c r="E111">
        <v>1</v>
      </c>
    </row>
    <row r="112" spans="1:5" x14ac:dyDescent="0.25">
      <c r="A112" s="311" t="s">
        <v>282</v>
      </c>
      <c r="B112" s="311" t="s">
        <v>283</v>
      </c>
      <c r="C112" s="311" t="s">
        <v>1672</v>
      </c>
      <c r="D112" s="323">
        <v>191</v>
      </c>
      <c r="E112">
        <v>1</v>
      </c>
    </row>
    <row r="113" spans="1:5" x14ac:dyDescent="0.25">
      <c r="A113" s="311" t="s">
        <v>284</v>
      </c>
      <c r="B113" s="311" t="s">
        <v>285</v>
      </c>
      <c r="C113" s="311" t="s">
        <v>1658</v>
      </c>
      <c r="D113" s="323">
        <v>105</v>
      </c>
      <c r="E113">
        <v>1</v>
      </c>
    </row>
    <row r="114" spans="1:5" x14ac:dyDescent="0.25">
      <c r="A114" s="311" t="s">
        <v>286</v>
      </c>
      <c r="B114" s="311" t="s">
        <v>287</v>
      </c>
      <c r="C114" s="311" t="s">
        <v>1846</v>
      </c>
      <c r="D114" s="323">
        <v>499</v>
      </c>
      <c r="E114">
        <v>1</v>
      </c>
    </row>
    <row r="115" spans="1:5" x14ac:dyDescent="0.25">
      <c r="A115" s="311" t="s">
        <v>288</v>
      </c>
      <c r="B115" s="311" t="s">
        <v>289</v>
      </c>
      <c r="C115" s="311" t="s">
        <v>1900</v>
      </c>
      <c r="D115" s="323">
        <v>24.5</v>
      </c>
      <c r="E115">
        <v>1</v>
      </c>
    </row>
    <row r="116" spans="1:5" x14ac:dyDescent="0.25">
      <c r="A116" s="311" t="s">
        <v>290</v>
      </c>
      <c r="B116" s="311" t="s">
        <v>291</v>
      </c>
      <c r="C116" s="311" t="s">
        <v>1854</v>
      </c>
      <c r="D116" s="323">
        <v>13.5</v>
      </c>
      <c r="E116">
        <v>1</v>
      </c>
    </row>
    <row r="117" spans="1:5" x14ac:dyDescent="0.25">
      <c r="A117" s="311" t="s">
        <v>292</v>
      </c>
      <c r="B117" s="311" t="s">
        <v>293</v>
      </c>
      <c r="C117" s="311" t="s">
        <v>1011</v>
      </c>
      <c r="D117" s="323">
        <v>6410.5</v>
      </c>
      <c r="E117">
        <v>1</v>
      </c>
    </row>
    <row r="118" spans="1:5" x14ac:dyDescent="0.25">
      <c r="A118" s="311" t="s">
        <v>294</v>
      </c>
      <c r="B118" s="311" t="s">
        <v>295</v>
      </c>
      <c r="C118" s="311" t="s">
        <v>1668</v>
      </c>
      <c r="D118" s="323">
        <v>300</v>
      </c>
      <c r="E118">
        <v>1</v>
      </c>
    </row>
    <row r="119" spans="1:5" x14ac:dyDescent="0.25">
      <c r="A119" s="311" t="s">
        <v>296</v>
      </c>
      <c r="B119" s="311" t="s">
        <v>297</v>
      </c>
      <c r="C119" s="311" t="s">
        <v>1631</v>
      </c>
      <c r="D119" s="323">
        <v>31</v>
      </c>
      <c r="E119">
        <v>1</v>
      </c>
    </row>
    <row r="120" spans="1:5" x14ac:dyDescent="0.25">
      <c r="A120" s="311" t="s">
        <v>298</v>
      </c>
      <c r="B120" s="311" t="s">
        <v>299</v>
      </c>
      <c r="C120" s="311" t="s">
        <v>1623</v>
      </c>
      <c r="D120" s="323">
        <v>868</v>
      </c>
      <c r="E120">
        <v>1</v>
      </c>
    </row>
    <row r="121" spans="1:5" x14ac:dyDescent="0.25">
      <c r="A121" s="311" t="s">
        <v>300</v>
      </c>
      <c r="B121" s="311" t="s">
        <v>301</v>
      </c>
      <c r="C121" s="311" t="s">
        <v>1609</v>
      </c>
      <c r="D121" s="323">
        <v>1857</v>
      </c>
      <c r="E121">
        <v>1</v>
      </c>
    </row>
    <row r="122" spans="1:5" x14ac:dyDescent="0.25">
      <c r="A122" s="311" t="s">
        <v>302</v>
      </c>
      <c r="B122" s="311" t="s">
        <v>303</v>
      </c>
      <c r="C122" s="311" t="s">
        <v>1722</v>
      </c>
      <c r="D122" s="323">
        <v>8</v>
      </c>
      <c r="E122">
        <v>1</v>
      </c>
    </row>
    <row r="123" spans="1:5" x14ac:dyDescent="0.25">
      <c r="A123" s="311" t="s">
        <v>304</v>
      </c>
      <c r="B123" s="311" t="s">
        <v>305</v>
      </c>
      <c r="C123" s="311" t="s">
        <v>1545</v>
      </c>
      <c r="D123" s="323">
        <v>649.5</v>
      </c>
      <c r="E123">
        <v>1</v>
      </c>
    </row>
    <row r="124" spans="1:5" x14ac:dyDescent="0.25">
      <c r="A124" s="311" t="s">
        <v>306</v>
      </c>
      <c r="B124" s="311" t="s">
        <v>307</v>
      </c>
      <c r="C124" s="311" t="s">
        <v>1878</v>
      </c>
      <c r="D124" s="323">
        <v>8</v>
      </c>
      <c r="E124">
        <v>1</v>
      </c>
    </row>
    <row r="125" spans="1:5" x14ac:dyDescent="0.25">
      <c r="A125" s="311" t="s">
        <v>212</v>
      </c>
      <c r="B125" s="311" t="s">
        <v>213</v>
      </c>
      <c r="C125" s="311" t="s">
        <v>1856</v>
      </c>
      <c r="D125" s="323">
        <v>1001.5</v>
      </c>
      <c r="E125">
        <v>1</v>
      </c>
    </row>
    <row r="126" spans="1:5" x14ac:dyDescent="0.25">
      <c r="A126" s="311" t="s">
        <v>214</v>
      </c>
      <c r="B126" s="311" t="s">
        <v>215</v>
      </c>
      <c r="C126" s="311" t="s">
        <v>1861</v>
      </c>
      <c r="D126" s="323">
        <v>1881.5</v>
      </c>
      <c r="E126">
        <v>1</v>
      </c>
    </row>
    <row r="127" spans="1:5" x14ac:dyDescent="0.25">
      <c r="A127" s="311" t="s">
        <v>216</v>
      </c>
      <c r="B127" s="311" t="s">
        <v>217</v>
      </c>
      <c r="C127" s="311" t="s">
        <v>1863</v>
      </c>
      <c r="D127" s="323">
        <v>2682.5</v>
      </c>
      <c r="E127">
        <v>1</v>
      </c>
    </row>
    <row r="128" spans="1:5" x14ac:dyDescent="0.25">
      <c r="A128" s="312" t="s">
        <v>249</v>
      </c>
      <c r="B128" s="312" t="s">
        <v>250</v>
      </c>
      <c r="C128" s="312" t="s">
        <v>1910</v>
      </c>
      <c r="D128" s="324">
        <v>121.5</v>
      </c>
      <c r="E128">
        <v>1</v>
      </c>
    </row>
    <row r="129" spans="1:5" x14ac:dyDescent="0.25">
      <c r="A129" s="312" t="s">
        <v>251</v>
      </c>
      <c r="B129" s="312" t="s">
        <v>252</v>
      </c>
      <c r="C129" s="312" t="s">
        <v>1912</v>
      </c>
      <c r="D129" s="324">
        <v>121.5</v>
      </c>
      <c r="E129">
        <v>1</v>
      </c>
    </row>
    <row r="130" spans="1:5" x14ac:dyDescent="0.25">
      <c r="A130" s="312" t="s">
        <v>253</v>
      </c>
      <c r="B130" s="312" t="s">
        <v>254</v>
      </c>
      <c r="C130" s="312" t="s">
        <v>1922</v>
      </c>
      <c r="D130" s="324">
        <v>121.5</v>
      </c>
      <c r="E130">
        <v>1</v>
      </c>
    </row>
    <row r="131" spans="1:5" x14ac:dyDescent="0.25">
      <c r="A131" s="312" t="s">
        <v>255</v>
      </c>
      <c r="B131" s="312" t="s">
        <v>256</v>
      </c>
      <c r="C131" s="312" t="s">
        <v>1923</v>
      </c>
      <c r="D131" s="324">
        <v>66</v>
      </c>
      <c r="E131">
        <v>1</v>
      </c>
    </row>
    <row r="132" spans="1:5" x14ac:dyDescent="0.25">
      <c r="A132" s="312" t="s">
        <v>257</v>
      </c>
      <c r="B132" s="312" t="s">
        <v>258</v>
      </c>
      <c r="C132" s="312" t="s">
        <v>1907</v>
      </c>
      <c r="D132" s="324">
        <v>66</v>
      </c>
      <c r="E132">
        <v>1</v>
      </c>
    </row>
    <row r="133" spans="1:5" x14ac:dyDescent="0.25">
      <c r="A133" s="312" t="s">
        <v>259</v>
      </c>
      <c r="B133" s="312" t="s">
        <v>260</v>
      </c>
      <c r="C133" s="312" t="s">
        <v>1914</v>
      </c>
      <c r="D133" s="324">
        <v>175.5</v>
      </c>
      <c r="E133">
        <v>1</v>
      </c>
    </row>
    <row r="134" spans="1:5" x14ac:dyDescent="0.25">
      <c r="A134" s="312" t="s">
        <v>261</v>
      </c>
      <c r="B134" s="312" t="s">
        <v>262</v>
      </c>
      <c r="C134" s="312" t="s">
        <v>1925</v>
      </c>
      <c r="D134" s="324">
        <v>66</v>
      </c>
      <c r="E134">
        <v>1</v>
      </c>
    </row>
    <row r="135" spans="1:5" x14ac:dyDescent="0.25">
      <c r="A135" s="312" t="s">
        <v>263</v>
      </c>
      <c r="B135" s="312" t="s">
        <v>264</v>
      </c>
      <c r="C135" s="312" t="s">
        <v>1924</v>
      </c>
      <c r="D135" s="324">
        <v>66</v>
      </c>
      <c r="E135">
        <v>1</v>
      </c>
    </row>
    <row r="136" spans="1:5" x14ac:dyDescent="0.25">
      <c r="A136" s="313" t="s">
        <v>309</v>
      </c>
      <c r="B136" s="313" t="s">
        <v>310</v>
      </c>
      <c r="C136" s="313" t="s">
        <v>834</v>
      </c>
      <c r="D136" s="325">
        <v>6439.5</v>
      </c>
      <c r="E136">
        <v>1</v>
      </c>
    </row>
    <row r="137" spans="1:5" x14ac:dyDescent="0.25">
      <c r="A137" s="313" t="s">
        <v>311</v>
      </c>
      <c r="B137" s="313" t="s">
        <v>312</v>
      </c>
      <c r="C137" s="313" t="s">
        <v>843</v>
      </c>
      <c r="D137" s="325">
        <v>6439.5</v>
      </c>
      <c r="E137">
        <v>1</v>
      </c>
    </row>
    <row r="138" spans="1:5" x14ac:dyDescent="0.25">
      <c r="A138" s="345" t="s">
        <v>143</v>
      </c>
      <c r="B138" s="346" t="s">
        <v>144</v>
      </c>
      <c r="C138" s="346" t="s">
        <v>1929</v>
      </c>
      <c r="D138" s="347">
        <v>66</v>
      </c>
    </row>
    <row r="139" spans="1:5" x14ac:dyDescent="0.25">
      <c r="A139" s="348" t="s">
        <v>320</v>
      </c>
      <c r="B139" s="349" t="s">
        <v>321</v>
      </c>
      <c r="C139" s="349" t="s">
        <v>1313</v>
      </c>
      <c r="D139" s="350">
        <v>32248</v>
      </c>
    </row>
    <row r="140" spans="1:5" x14ac:dyDescent="0.25">
      <c r="A140" s="348" t="s">
        <v>322</v>
      </c>
      <c r="B140" s="349" t="s">
        <v>323</v>
      </c>
      <c r="C140" s="349" t="s">
        <v>1313</v>
      </c>
      <c r="D140" s="350">
        <v>32238</v>
      </c>
    </row>
    <row r="141" spans="1:5" x14ac:dyDescent="0.25">
      <c r="A141" s="348" t="s">
        <v>324</v>
      </c>
      <c r="B141" s="349" t="s">
        <v>325</v>
      </c>
      <c r="C141" s="349" t="s">
        <v>1938</v>
      </c>
      <c r="D141" s="350">
        <v>32278.5</v>
      </c>
    </row>
    <row r="142" spans="1:5" x14ac:dyDescent="0.25">
      <c r="A142" s="348" t="s">
        <v>326</v>
      </c>
      <c r="B142" s="349" t="s">
        <v>327</v>
      </c>
      <c r="C142" s="349" t="s">
        <v>1939</v>
      </c>
      <c r="D142" s="350">
        <v>32268.5</v>
      </c>
    </row>
    <row r="143" spans="1:5" x14ac:dyDescent="0.25">
      <c r="A143" s="348" t="s">
        <v>328</v>
      </c>
      <c r="B143" s="349" t="s">
        <v>329</v>
      </c>
      <c r="C143" s="349" t="s">
        <v>1954</v>
      </c>
      <c r="D143" s="350">
        <v>33598.5</v>
      </c>
    </row>
    <row r="144" spans="1:5" x14ac:dyDescent="0.25">
      <c r="A144" s="348" t="s">
        <v>330</v>
      </c>
      <c r="B144" s="349" t="s">
        <v>331</v>
      </c>
      <c r="C144" s="349" t="s">
        <v>1953</v>
      </c>
      <c r="D144" s="350">
        <v>33588.5</v>
      </c>
    </row>
    <row r="145" spans="1:4" x14ac:dyDescent="0.25">
      <c r="A145" s="348" t="s">
        <v>332</v>
      </c>
      <c r="B145" s="349" t="s">
        <v>333</v>
      </c>
      <c r="C145" s="349" t="s">
        <v>1942</v>
      </c>
      <c r="D145" s="350">
        <v>33578</v>
      </c>
    </row>
    <row r="146" spans="1:4" x14ac:dyDescent="0.25">
      <c r="A146" s="348" t="s">
        <v>334</v>
      </c>
      <c r="B146" s="349" t="s">
        <v>335</v>
      </c>
      <c r="C146" s="349" t="s">
        <v>1943</v>
      </c>
      <c r="D146" s="350">
        <v>33568</v>
      </c>
    </row>
    <row r="147" spans="1:4" x14ac:dyDescent="0.25">
      <c r="A147" s="348" t="s">
        <v>1952</v>
      </c>
      <c r="B147" s="349" t="s">
        <v>412</v>
      </c>
      <c r="C147" s="349" t="s">
        <v>1250</v>
      </c>
      <c r="D147" s="350">
        <v>5873</v>
      </c>
    </row>
    <row r="148" spans="1:4" x14ac:dyDescent="0.25">
      <c r="A148" s="348" t="s">
        <v>1932</v>
      </c>
      <c r="B148" s="349" t="s">
        <v>579</v>
      </c>
      <c r="C148" s="349" t="s">
        <v>1946</v>
      </c>
      <c r="D148" s="350">
        <v>2</v>
      </c>
    </row>
    <row r="149" spans="1:4" x14ac:dyDescent="0.25">
      <c r="A149" s="348" t="s">
        <v>1933</v>
      </c>
      <c r="B149" s="349" t="s">
        <v>1935</v>
      </c>
      <c r="C149" s="349" t="s">
        <v>1944</v>
      </c>
      <c r="D149" s="350">
        <v>2</v>
      </c>
    </row>
    <row r="150" spans="1:4" x14ac:dyDescent="0.25">
      <c r="A150" s="348" t="s">
        <v>1934</v>
      </c>
      <c r="B150" s="349" t="s">
        <v>1937</v>
      </c>
      <c r="C150" s="349" t="s">
        <v>1950</v>
      </c>
      <c r="D150" s="350">
        <v>225</v>
      </c>
    </row>
    <row r="151" spans="1:4" x14ac:dyDescent="0.25">
      <c r="A151" s="351" t="s">
        <v>1931</v>
      </c>
      <c r="B151" s="352" t="s">
        <v>1936</v>
      </c>
      <c r="C151" s="352" t="s">
        <v>1945</v>
      </c>
      <c r="D151" s="353">
        <v>23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2B58-A586-42CB-AF93-A078CF1D4518}">
  <dimension ref="A1:J150"/>
  <sheetViews>
    <sheetView zoomScaleNormal="100" workbookViewId="0">
      <selection activeCell="A72" sqref="A72:D72"/>
    </sheetView>
  </sheetViews>
  <sheetFormatPr defaultRowHeight="15" x14ac:dyDescent="0.25"/>
  <cols>
    <col min="1" max="1" width="68" style="297" bestFit="1" customWidth="1"/>
    <col min="2" max="2" width="18.28515625" style="297" bestFit="1" customWidth="1"/>
    <col min="3" max="3" width="20.28515625" style="297" bestFit="1" customWidth="1"/>
    <col min="4" max="4" width="8" style="297" bestFit="1" customWidth="1"/>
  </cols>
  <sheetData>
    <row r="1" spans="1:4" x14ac:dyDescent="0.25">
      <c r="A1" s="279" t="s">
        <v>17</v>
      </c>
      <c r="B1" s="279" t="s">
        <v>18</v>
      </c>
      <c r="C1" s="279" t="s">
        <v>702</v>
      </c>
      <c r="D1" s="279">
        <v>3181</v>
      </c>
    </row>
    <row r="2" spans="1:4" x14ac:dyDescent="0.25">
      <c r="A2" s="279" t="s">
        <v>19</v>
      </c>
      <c r="B2" s="279" t="s">
        <v>20</v>
      </c>
      <c r="C2" s="279" t="s">
        <v>709</v>
      </c>
      <c r="D2" s="279">
        <v>3061.5</v>
      </c>
    </row>
    <row r="3" spans="1:4" x14ac:dyDescent="0.25">
      <c r="A3" s="279" t="s">
        <v>1962</v>
      </c>
      <c r="B3" s="279" t="s">
        <v>1963</v>
      </c>
      <c r="C3" s="279" t="s">
        <v>1972</v>
      </c>
      <c r="D3" s="279">
        <v>3061.5</v>
      </c>
    </row>
    <row r="4" spans="1:4" x14ac:dyDescent="0.25">
      <c r="A4" s="279" t="s">
        <v>24</v>
      </c>
      <c r="B4" s="279" t="s">
        <v>25</v>
      </c>
      <c r="C4" s="279" t="s">
        <v>732</v>
      </c>
      <c r="D4" s="279">
        <v>3180</v>
      </c>
    </row>
    <row r="5" spans="1:4" x14ac:dyDescent="0.25">
      <c r="A5" s="279" t="s">
        <v>1964</v>
      </c>
      <c r="B5" s="279" t="s">
        <v>1965</v>
      </c>
      <c r="C5" s="279" t="s">
        <v>1973</v>
      </c>
      <c r="D5" s="279">
        <v>3061.5</v>
      </c>
    </row>
    <row r="6" spans="1:4" x14ac:dyDescent="0.25">
      <c r="A6" s="279" t="s">
        <v>27</v>
      </c>
      <c r="B6" s="279" t="s">
        <v>28</v>
      </c>
      <c r="C6" s="279" t="s">
        <v>752</v>
      </c>
      <c r="D6" s="279">
        <v>1419.5</v>
      </c>
    </row>
    <row r="7" spans="1:4" x14ac:dyDescent="0.25">
      <c r="A7" s="279" t="s">
        <v>29</v>
      </c>
      <c r="B7" s="279" t="s">
        <v>1968</v>
      </c>
      <c r="C7" s="279" t="s">
        <v>1974</v>
      </c>
      <c r="D7" s="279">
        <v>1419.5</v>
      </c>
    </row>
    <row r="8" spans="1:4" x14ac:dyDescent="0.25">
      <c r="A8" s="279" t="s">
        <v>31</v>
      </c>
      <c r="B8" s="279" t="s">
        <v>32</v>
      </c>
      <c r="C8" s="279" t="s">
        <v>749</v>
      </c>
      <c r="D8" s="279">
        <v>1419.5</v>
      </c>
    </row>
    <row r="9" spans="1:4" x14ac:dyDescent="0.25">
      <c r="A9" s="279" t="s">
        <v>33</v>
      </c>
      <c r="B9" s="279" t="s">
        <v>1969</v>
      </c>
      <c r="C9" s="279" t="s">
        <v>1975</v>
      </c>
      <c r="D9" s="279">
        <v>1419.5</v>
      </c>
    </row>
    <row r="10" spans="1:4" x14ac:dyDescent="0.25">
      <c r="A10" s="279" t="s">
        <v>36</v>
      </c>
      <c r="B10" s="279" t="s">
        <v>37</v>
      </c>
      <c r="C10" s="279" t="s">
        <v>784</v>
      </c>
      <c r="D10" s="279">
        <v>1345</v>
      </c>
    </row>
    <row r="11" spans="1:4" x14ac:dyDescent="0.25">
      <c r="A11" s="279" t="s">
        <v>38</v>
      </c>
      <c r="B11" s="279" t="s">
        <v>39</v>
      </c>
      <c r="C11" s="279" t="s">
        <v>793</v>
      </c>
      <c r="D11" s="279">
        <v>2497.5</v>
      </c>
    </row>
    <row r="12" spans="1:4" x14ac:dyDescent="0.25">
      <c r="A12" s="279" t="s">
        <v>40</v>
      </c>
      <c r="B12" s="279" t="s">
        <v>41</v>
      </c>
      <c r="C12" s="279" t="s">
        <v>758</v>
      </c>
      <c r="D12" s="279">
        <v>1419.5</v>
      </c>
    </row>
    <row r="13" spans="1:4" x14ac:dyDescent="0.25">
      <c r="A13" s="279" t="s">
        <v>42</v>
      </c>
      <c r="B13" s="279" t="s">
        <v>1970</v>
      </c>
      <c r="C13" s="279" t="s">
        <v>1976</v>
      </c>
      <c r="D13" s="279">
        <v>1419.5</v>
      </c>
    </row>
    <row r="14" spans="1:4" x14ac:dyDescent="0.25">
      <c r="A14" s="279" t="s">
        <v>373</v>
      </c>
      <c r="B14" s="279" t="s">
        <v>374</v>
      </c>
      <c r="C14" s="279" t="s">
        <v>799</v>
      </c>
      <c r="D14" s="279">
        <v>1345</v>
      </c>
    </row>
    <row r="15" spans="1:4" x14ac:dyDescent="0.25">
      <c r="A15" s="279" t="s">
        <v>45</v>
      </c>
      <c r="B15" s="279" t="s">
        <v>46</v>
      </c>
      <c r="C15" s="279" t="s">
        <v>765</v>
      </c>
      <c r="D15" s="279">
        <v>3181</v>
      </c>
    </row>
    <row r="16" spans="1:4" x14ac:dyDescent="0.25">
      <c r="A16" s="279" t="s">
        <v>47</v>
      </c>
      <c r="B16" s="279" t="s">
        <v>48</v>
      </c>
      <c r="C16" s="279" t="s">
        <v>768</v>
      </c>
      <c r="D16" s="279">
        <v>1419.5</v>
      </c>
    </row>
    <row r="17" spans="1:4" x14ac:dyDescent="0.25">
      <c r="A17" s="279" t="s">
        <v>49</v>
      </c>
      <c r="B17" s="280" t="s">
        <v>1971</v>
      </c>
      <c r="C17" s="280" t="s">
        <v>1977</v>
      </c>
      <c r="D17" s="280">
        <v>1419.5</v>
      </c>
    </row>
    <row r="18" spans="1:4" x14ac:dyDescent="0.25">
      <c r="A18" s="281" t="s">
        <v>1966</v>
      </c>
      <c r="B18" s="281" t="s">
        <v>1967</v>
      </c>
      <c r="C18" s="281" t="s">
        <v>1978</v>
      </c>
      <c r="D18" s="281">
        <v>2467.5</v>
      </c>
    </row>
    <row r="19" spans="1:4" x14ac:dyDescent="0.25">
      <c r="A19" s="279" t="s">
        <v>52</v>
      </c>
      <c r="B19" s="279" t="s">
        <v>53</v>
      </c>
      <c r="C19" s="279" t="s">
        <v>822</v>
      </c>
      <c r="D19" s="279">
        <v>2467.5</v>
      </c>
    </row>
    <row r="20" spans="1:4" x14ac:dyDescent="0.25">
      <c r="A20" s="282" t="s">
        <v>55</v>
      </c>
      <c r="B20" s="282" t="s">
        <v>56</v>
      </c>
      <c r="C20" s="282" t="s">
        <v>801</v>
      </c>
      <c r="D20" s="282">
        <v>1395.5</v>
      </c>
    </row>
    <row r="21" spans="1:4" x14ac:dyDescent="0.25">
      <c r="A21" s="282" t="s">
        <v>57</v>
      </c>
      <c r="B21" s="282" t="s">
        <v>58</v>
      </c>
      <c r="C21" s="283" t="s">
        <v>812</v>
      </c>
      <c r="D21" s="282">
        <v>1658</v>
      </c>
    </row>
    <row r="22" spans="1:4" x14ac:dyDescent="0.25">
      <c r="A22" s="282" t="s">
        <v>59</v>
      </c>
      <c r="B22" s="282" t="s">
        <v>60</v>
      </c>
      <c r="C22" s="282" t="s">
        <v>804</v>
      </c>
      <c r="D22" s="282">
        <v>1395.5</v>
      </c>
    </row>
    <row r="23" spans="1:4" x14ac:dyDescent="0.25">
      <c r="A23" s="282" t="s">
        <v>61</v>
      </c>
      <c r="B23" s="282" t="s">
        <v>62</v>
      </c>
      <c r="C23" s="282" t="s">
        <v>814</v>
      </c>
      <c r="D23" s="282">
        <v>1658</v>
      </c>
    </row>
    <row r="24" spans="1:4" x14ac:dyDescent="0.25">
      <c r="A24" s="282" t="s">
        <v>63</v>
      </c>
      <c r="B24" s="282" t="s">
        <v>64</v>
      </c>
      <c r="C24" s="282" t="s">
        <v>806</v>
      </c>
      <c r="D24" s="282">
        <v>1395.5</v>
      </c>
    </row>
    <row r="25" spans="1:4" x14ac:dyDescent="0.25">
      <c r="A25" s="282" t="s">
        <v>65</v>
      </c>
      <c r="B25" s="282" t="s">
        <v>66</v>
      </c>
      <c r="C25" s="282" t="s">
        <v>816</v>
      </c>
      <c r="D25" s="282">
        <v>1658</v>
      </c>
    </row>
    <row r="26" spans="1:4" x14ac:dyDescent="0.25">
      <c r="A26" s="282" t="s">
        <v>67</v>
      </c>
      <c r="B26" s="282" t="s">
        <v>68</v>
      </c>
      <c r="C26" s="282" t="s">
        <v>810</v>
      </c>
      <c r="D26" s="282">
        <v>1395.5</v>
      </c>
    </row>
    <row r="27" spans="1:4" x14ac:dyDescent="0.25">
      <c r="A27" s="282" t="s">
        <v>69</v>
      </c>
      <c r="B27" s="282" t="s">
        <v>70</v>
      </c>
      <c r="C27" s="282" t="s">
        <v>820</v>
      </c>
      <c r="D27" s="282">
        <v>1658</v>
      </c>
    </row>
    <row r="28" spans="1:4" x14ac:dyDescent="0.25">
      <c r="A28" s="282" t="s">
        <v>71</v>
      </c>
      <c r="B28" s="282" t="s">
        <v>72</v>
      </c>
      <c r="C28" s="282" t="s">
        <v>808</v>
      </c>
      <c r="D28" s="282">
        <v>1395.5</v>
      </c>
    </row>
    <row r="29" spans="1:4" x14ac:dyDescent="0.25">
      <c r="A29" s="282" t="s">
        <v>73</v>
      </c>
      <c r="B29" s="282" t="s">
        <v>74</v>
      </c>
      <c r="C29" s="282" t="s">
        <v>818</v>
      </c>
      <c r="D29" s="282">
        <v>1658</v>
      </c>
    </row>
    <row r="30" spans="1:4" x14ac:dyDescent="0.25">
      <c r="A30" s="282" t="s">
        <v>75</v>
      </c>
      <c r="B30" s="282" t="s">
        <v>76</v>
      </c>
      <c r="C30" s="282" t="s">
        <v>1870</v>
      </c>
      <c r="D30" s="282">
        <v>1395.5</v>
      </c>
    </row>
    <row r="31" spans="1:4" x14ac:dyDescent="0.25">
      <c r="A31" s="282" t="s">
        <v>77</v>
      </c>
      <c r="B31" s="282" t="s">
        <v>78</v>
      </c>
      <c r="C31" s="282" t="s">
        <v>1876</v>
      </c>
      <c r="D31" s="282">
        <v>1658</v>
      </c>
    </row>
    <row r="32" spans="1:4" x14ac:dyDescent="0.25">
      <c r="A32" s="282" t="s">
        <v>79</v>
      </c>
      <c r="B32" s="282" t="s">
        <v>80</v>
      </c>
      <c r="C32" s="282" t="s">
        <v>1865</v>
      </c>
      <c r="D32" s="282">
        <v>1395.5</v>
      </c>
    </row>
    <row r="33" spans="1:4" x14ac:dyDescent="0.25">
      <c r="A33" s="282" t="s">
        <v>81</v>
      </c>
      <c r="B33" s="282" t="s">
        <v>82</v>
      </c>
      <c r="C33" s="282" t="s">
        <v>1872</v>
      </c>
      <c r="D33" s="282">
        <v>1658</v>
      </c>
    </row>
    <row r="34" spans="1:4" x14ac:dyDescent="0.25">
      <c r="A34" s="282" t="s">
        <v>83</v>
      </c>
      <c r="B34" s="282" t="s">
        <v>84</v>
      </c>
      <c r="C34" s="282" t="s">
        <v>1868</v>
      </c>
      <c r="D34" s="282">
        <v>1395.5</v>
      </c>
    </row>
    <row r="35" spans="1:4" x14ac:dyDescent="0.25">
      <c r="A35" s="282" t="s">
        <v>85</v>
      </c>
      <c r="B35" s="282" t="s">
        <v>86</v>
      </c>
      <c r="C35" s="282" t="s">
        <v>1874</v>
      </c>
      <c r="D35" s="282">
        <v>1658</v>
      </c>
    </row>
    <row r="36" spans="1:4" x14ac:dyDescent="0.25">
      <c r="A36" s="284" t="s">
        <v>88</v>
      </c>
      <c r="B36" s="284" t="s">
        <v>89</v>
      </c>
      <c r="C36" s="284" t="s">
        <v>1799</v>
      </c>
      <c r="D36" s="284">
        <v>26</v>
      </c>
    </row>
    <row r="37" spans="1:4" x14ac:dyDescent="0.25">
      <c r="A37" s="284" t="s">
        <v>90</v>
      </c>
      <c r="B37" s="284" t="s">
        <v>91</v>
      </c>
      <c r="C37" s="284" t="s">
        <v>1837</v>
      </c>
      <c r="D37" s="284">
        <v>423</v>
      </c>
    </row>
    <row r="38" spans="1:4" x14ac:dyDescent="0.25">
      <c r="A38" s="284" t="s">
        <v>92</v>
      </c>
      <c r="B38" s="284" t="s">
        <v>93</v>
      </c>
      <c r="C38" s="284" t="s">
        <v>1840</v>
      </c>
      <c r="D38" s="284">
        <v>636</v>
      </c>
    </row>
    <row r="39" spans="1:4" x14ac:dyDescent="0.25">
      <c r="A39" s="284" t="s">
        <v>94</v>
      </c>
      <c r="B39" s="284" t="s">
        <v>95</v>
      </c>
      <c r="C39" s="284" t="s">
        <v>1843</v>
      </c>
      <c r="D39" s="284">
        <v>739.5</v>
      </c>
    </row>
    <row r="40" spans="1:4" x14ac:dyDescent="0.25">
      <c r="A40" s="284" t="s">
        <v>96</v>
      </c>
      <c r="B40" s="284" t="s">
        <v>97</v>
      </c>
      <c r="C40" s="284" t="s">
        <v>1417</v>
      </c>
      <c r="D40" s="284">
        <v>10.5</v>
      </c>
    </row>
    <row r="41" spans="1:4" x14ac:dyDescent="0.25">
      <c r="A41" s="284" t="s">
        <v>98</v>
      </c>
      <c r="B41" s="284" t="s">
        <v>99</v>
      </c>
      <c r="C41" s="284" t="s">
        <v>730</v>
      </c>
      <c r="D41" s="284">
        <v>26</v>
      </c>
    </row>
    <row r="42" spans="1:4" x14ac:dyDescent="0.25">
      <c r="A42" s="284" t="s">
        <v>100</v>
      </c>
      <c r="B42" s="284" t="s">
        <v>101</v>
      </c>
      <c r="C42" s="284" t="s">
        <v>726</v>
      </c>
      <c r="D42" s="284">
        <v>20</v>
      </c>
    </row>
    <row r="43" spans="1:4" x14ac:dyDescent="0.25">
      <c r="A43" s="285" t="s">
        <v>105</v>
      </c>
      <c r="B43" s="285" t="s">
        <v>106</v>
      </c>
      <c r="C43" s="285" t="s">
        <v>876</v>
      </c>
      <c r="D43" s="285">
        <v>48792</v>
      </c>
    </row>
    <row r="44" spans="1:4" x14ac:dyDescent="0.25">
      <c r="A44" s="285" t="s">
        <v>107</v>
      </c>
      <c r="B44" s="285" t="s">
        <v>108</v>
      </c>
      <c r="C44" s="285" t="s">
        <v>871</v>
      </c>
      <c r="D44" s="285">
        <v>49000</v>
      </c>
    </row>
    <row r="45" spans="1:4" x14ac:dyDescent="0.25">
      <c r="A45" s="285" t="s">
        <v>110</v>
      </c>
      <c r="B45" s="285" t="s">
        <v>111</v>
      </c>
      <c r="C45" s="285" t="s">
        <v>931</v>
      </c>
      <c r="D45" s="285">
        <v>51355.5</v>
      </c>
    </row>
    <row r="46" spans="1:4" x14ac:dyDescent="0.25">
      <c r="A46" s="285" t="s">
        <v>112</v>
      </c>
      <c r="B46" s="285" t="s">
        <v>113</v>
      </c>
      <c r="C46" s="285" t="s">
        <v>925</v>
      </c>
      <c r="D46" s="285">
        <v>51362</v>
      </c>
    </row>
    <row r="47" spans="1:4" x14ac:dyDescent="0.25">
      <c r="A47" s="285" t="s">
        <v>116</v>
      </c>
      <c r="B47" s="285" t="s">
        <v>117</v>
      </c>
      <c r="C47" s="285" t="s">
        <v>878</v>
      </c>
      <c r="D47" s="285">
        <v>34337.5</v>
      </c>
    </row>
    <row r="48" spans="1:4" x14ac:dyDescent="0.25">
      <c r="A48" s="285" t="s">
        <v>118</v>
      </c>
      <c r="B48" s="285" t="s">
        <v>119</v>
      </c>
      <c r="C48" s="285" t="s">
        <v>873</v>
      </c>
      <c r="D48" s="285">
        <v>36810</v>
      </c>
    </row>
    <row r="49" spans="1:4" x14ac:dyDescent="0.25">
      <c r="A49" s="285" t="s">
        <v>120</v>
      </c>
      <c r="B49" s="285" t="s">
        <v>121</v>
      </c>
      <c r="C49" s="285" t="s">
        <v>933</v>
      </c>
      <c r="D49" s="285">
        <v>36700</v>
      </c>
    </row>
    <row r="50" spans="1:4" x14ac:dyDescent="0.25">
      <c r="A50" s="285" t="s">
        <v>122</v>
      </c>
      <c r="B50" s="285" t="s">
        <v>123</v>
      </c>
      <c r="C50" s="285" t="s">
        <v>928</v>
      </c>
      <c r="D50" s="285">
        <v>37903</v>
      </c>
    </row>
    <row r="51" spans="1:4" x14ac:dyDescent="0.25">
      <c r="A51" s="285" t="s">
        <v>126</v>
      </c>
      <c r="B51" s="285" t="s">
        <v>456</v>
      </c>
      <c r="C51" s="285" t="s">
        <v>935</v>
      </c>
      <c r="D51" s="285">
        <v>25812</v>
      </c>
    </row>
    <row r="52" spans="1:4" x14ac:dyDescent="0.25">
      <c r="A52" s="285" t="s">
        <v>128</v>
      </c>
      <c r="B52" s="285" t="s">
        <v>129</v>
      </c>
      <c r="C52" s="285" t="s">
        <v>986</v>
      </c>
      <c r="D52" s="285">
        <v>29700.5</v>
      </c>
    </row>
    <row r="53" spans="1:4" x14ac:dyDescent="0.25">
      <c r="A53" s="286" t="s">
        <v>131</v>
      </c>
      <c r="B53" s="286" t="s">
        <v>1979</v>
      </c>
      <c r="C53" s="286" t="s">
        <v>1980</v>
      </c>
      <c r="D53" s="286">
        <v>2077.5</v>
      </c>
    </row>
    <row r="54" spans="1:4" x14ac:dyDescent="0.25">
      <c r="A54" s="286" t="s">
        <v>133</v>
      </c>
      <c r="B54" s="286" t="s">
        <v>134</v>
      </c>
      <c r="C54" s="286" t="s">
        <v>1727</v>
      </c>
      <c r="D54" s="286">
        <v>4898</v>
      </c>
    </row>
    <row r="55" spans="1:4" x14ac:dyDescent="0.25">
      <c r="A55" s="287" t="s">
        <v>136</v>
      </c>
      <c r="B55" s="287" t="s">
        <v>137</v>
      </c>
      <c r="C55" s="287" t="s">
        <v>1926</v>
      </c>
      <c r="D55" s="287">
        <v>62.5</v>
      </c>
    </row>
    <row r="56" spans="1:4" x14ac:dyDescent="0.25">
      <c r="A56" s="287" t="s">
        <v>138</v>
      </c>
      <c r="B56" s="287" t="s">
        <v>139</v>
      </c>
      <c r="C56" s="287" t="s">
        <v>1927</v>
      </c>
      <c r="D56" s="287">
        <v>62.5</v>
      </c>
    </row>
    <row r="57" spans="1:4" x14ac:dyDescent="0.25">
      <c r="A57" s="287" t="s">
        <v>140</v>
      </c>
      <c r="B57" s="287" t="s">
        <v>141</v>
      </c>
      <c r="C57" s="287" t="s">
        <v>1928</v>
      </c>
      <c r="D57" s="287">
        <v>62.5</v>
      </c>
    </row>
    <row r="58" spans="1:4" x14ac:dyDescent="0.25">
      <c r="A58" s="287" t="s">
        <v>145</v>
      </c>
      <c r="B58" s="287" t="s">
        <v>146</v>
      </c>
      <c r="C58" s="287" t="s">
        <v>1930</v>
      </c>
      <c r="D58" s="287">
        <v>62.5</v>
      </c>
    </row>
    <row r="59" spans="1:4" x14ac:dyDescent="0.25">
      <c r="A59" s="288" t="s">
        <v>150</v>
      </c>
      <c r="B59" s="288" t="s">
        <v>151</v>
      </c>
      <c r="C59" s="288" t="s">
        <v>980</v>
      </c>
      <c r="D59" s="288">
        <v>6953.5</v>
      </c>
    </row>
    <row r="60" spans="1:4" x14ac:dyDescent="0.25">
      <c r="A60" s="288" t="s">
        <v>152</v>
      </c>
      <c r="B60" s="288" t="s">
        <v>153</v>
      </c>
      <c r="C60" s="288" t="s">
        <v>997</v>
      </c>
      <c r="D60" s="288">
        <v>7166</v>
      </c>
    </row>
    <row r="61" spans="1:4" x14ac:dyDescent="0.25">
      <c r="A61" s="288" t="s">
        <v>155</v>
      </c>
      <c r="B61" s="288" t="s">
        <v>156</v>
      </c>
      <c r="C61" s="288" t="s">
        <v>1086</v>
      </c>
      <c r="D61" s="288">
        <v>6493</v>
      </c>
    </row>
    <row r="62" spans="1:4" x14ac:dyDescent="0.25">
      <c r="A62" s="288" t="s">
        <v>157</v>
      </c>
      <c r="B62" s="288" t="s">
        <v>158</v>
      </c>
      <c r="C62" s="288" t="s">
        <v>1089</v>
      </c>
      <c r="D62" s="288">
        <v>2607</v>
      </c>
    </row>
    <row r="63" spans="1:4" x14ac:dyDescent="0.25">
      <c r="A63" s="288" t="s">
        <v>162</v>
      </c>
      <c r="B63" s="288" t="s">
        <v>163</v>
      </c>
      <c r="C63" s="288" t="s">
        <v>1078</v>
      </c>
      <c r="D63" s="288">
        <v>7215.5</v>
      </c>
    </row>
    <row r="64" spans="1:4" x14ac:dyDescent="0.25">
      <c r="A64" s="288" t="s">
        <v>164</v>
      </c>
      <c r="B64" s="288" t="s">
        <v>165</v>
      </c>
      <c r="C64" s="288" t="s">
        <v>1023</v>
      </c>
      <c r="D64" s="288">
        <v>1708.5</v>
      </c>
    </row>
    <row r="65" spans="1:4" x14ac:dyDescent="0.25">
      <c r="A65" s="288" t="s">
        <v>166</v>
      </c>
      <c r="B65" s="288" t="s">
        <v>167</v>
      </c>
      <c r="C65" s="288" t="s">
        <v>1106</v>
      </c>
      <c r="D65" s="288">
        <v>2659.5</v>
      </c>
    </row>
    <row r="66" spans="1:4" x14ac:dyDescent="0.25">
      <c r="A66" s="288" t="s">
        <v>168</v>
      </c>
      <c r="B66" s="288" t="s">
        <v>169</v>
      </c>
      <c r="C66" s="288" t="s">
        <v>1206</v>
      </c>
      <c r="D66" s="288">
        <v>3360</v>
      </c>
    </row>
    <row r="67" spans="1:4" x14ac:dyDescent="0.25">
      <c r="A67" s="288" t="s">
        <v>170</v>
      </c>
      <c r="B67" s="288" t="s">
        <v>171</v>
      </c>
      <c r="C67" s="288" t="s">
        <v>1951</v>
      </c>
      <c r="D67" s="288">
        <v>813.5</v>
      </c>
    </row>
    <row r="68" spans="1:4" x14ac:dyDescent="0.25">
      <c r="A68" s="288" t="s">
        <v>172</v>
      </c>
      <c r="B68" s="288" t="s">
        <v>173</v>
      </c>
      <c r="C68" s="288" t="s">
        <v>1185</v>
      </c>
      <c r="D68" s="288">
        <v>169</v>
      </c>
    </row>
    <row r="69" spans="1:4" x14ac:dyDescent="0.25">
      <c r="A69" s="288" t="s">
        <v>174</v>
      </c>
      <c r="B69" s="288" t="s">
        <v>175</v>
      </c>
      <c r="C69" s="288" t="s">
        <v>1183</v>
      </c>
      <c r="D69" s="288">
        <v>143.5</v>
      </c>
    </row>
    <row r="70" spans="1:4" x14ac:dyDescent="0.25">
      <c r="A70" s="288" t="s">
        <v>176</v>
      </c>
      <c r="B70" s="288" t="s">
        <v>177</v>
      </c>
      <c r="C70" s="288" t="s">
        <v>1116</v>
      </c>
      <c r="D70" s="288">
        <v>855</v>
      </c>
    </row>
    <row r="71" spans="1:4" x14ac:dyDescent="0.25">
      <c r="A71" s="288" t="s">
        <v>178</v>
      </c>
      <c r="B71" s="288" t="s">
        <v>179</v>
      </c>
      <c r="C71" s="288" t="s">
        <v>1014</v>
      </c>
      <c r="D71" s="288">
        <v>855</v>
      </c>
    </row>
    <row r="72" spans="1:4" x14ac:dyDescent="0.25">
      <c r="A72" s="288" t="s">
        <v>180</v>
      </c>
      <c r="B72" s="288" t="s">
        <v>181</v>
      </c>
      <c r="C72" s="288" t="s">
        <v>1019</v>
      </c>
      <c r="D72" s="288">
        <v>7292</v>
      </c>
    </row>
    <row r="73" spans="1:4" x14ac:dyDescent="0.25">
      <c r="A73" s="288" t="s">
        <v>188</v>
      </c>
      <c r="B73" s="288" t="s">
        <v>189</v>
      </c>
      <c r="C73" s="288" t="s">
        <v>1098</v>
      </c>
      <c r="D73" s="288">
        <v>2163.5</v>
      </c>
    </row>
    <row r="74" spans="1:4" x14ac:dyDescent="0.25">
      <c r="A74" s="288" t="s">
        <v>190</v>
      </c>
      <c r="B74" s="288" t="s">
        <v>191</v>
      </c>
      <c r="C74" s="288" t="s">
        <v>1104</v>
      </c>
      <c r="D74" s="288">
        <v>3209.5</v>
      </c>
    </row>
    <row r="75" spans="1:4" x14ac:dyDescent="0.25">
      <c r="A75" s="288" t="s">
        <v>192</v>
      </c>
      <c r="B75" s="288" t="s">
        <v>193</v>
      </c>
      <c r="C75" s="288" t="s">
        <v>1091</v>
      </c>
      <c r="D75" s="288">
        <v>3681.5</v>
      </c>
    </row>
    <row r="76" spans="1:4" x14ac:dyDescent="0.25">
      <c r="A76" s="288" t="s">
        <v>195</v>
      </c>
      <c r="B76" s="288" t="s">
        <v>196</v>
      </c>
      <c r="C76" s="288" t="s">
        <v>1674</v>
      </c>
      <c r="D76" s="288">
        <v>3838</v>
      </c>
    </row>
    <row r="77" spans="1:4" x14ac:dyDescent="0.25">
      <c r="A77" s="288" t="s">
        <v>197</v>
      </c>
      <c r="B77" s="288" t="s">
        <v>198</v>
      </c>
      <c r="C77" s="288" t="s">
        <v>1677</v>
      </c>
      <c r="D77" s="288">
        <v>4726.5</v>
      </c>
    </row>
    <row r="78" spans="1:4" x14ac:dyDescent="0.25">
      <c r="A78" s="288" t="s">
        <v>200</v>
      </c>
      <c r="B78" s="288" t="s">
        <v>201</v>
      </c>
      <c r="C78" s="288" t="s">
        <v>1919</v>
      </c>
      <c r="D78" s="288">
        <v>545</v>
      </c>
    </row>
    <row r="79" spans="1:4" x14ac:dyDescent="0.25">
      <c r="A79" s="289" t="s">
        <v>1955</v>
      </c>
      <c r="B79" s="289" t="s">
        <v>206</v>
      </c>
      <c r="C79" s="289" t="s">
        <v>1046</v>
      </c>
      <c r="D79" s="289">
        <v>6067.5</v>
      </c>
    </row>
    <row r="80" spans="1:4" x14ac:dyDescent="0.25">
      <c r="A80" s="289" t="s">
        <v>1956</v>
      </c>
      <c r="B80" s="289" t="s">
        <v>208</v>
      </c>
      <c r="C80" s="289" t="s">
        <v>1050</v>
      </c>
      <c r="D80" s="289">
        <v>8435</v>
      </c>
    </row>
    <row r="81" spans="1:10" x14ac:dyDescent="0.25">
      <c r="A81" s="289" t="s">
        <v>1957</v>
      </c>
      <c r="B81" s="289" t="s">
        <v>210</v>
      </c>
      <c r="C81" s="289" t="s">
        <v>1044</v>
      </c>
      <c r="D81" s="289">
        <v>10322</v>
      </c>
      <c r="G81" s="244"/>
      <c r="H81" s="244"/>
      <c r="I81" s="244"/>
      <c r="J81" s="244"/>
    </row>
    <row r="82" spans="1:10" x14ac:dyDescent="0.25">
      <c r="A82" s="290" t="s">
        <v>1958</v>
      </c>
      <c r="B82" s="290" t="s">
        <v>220</v>
      </c>
      <c r="C82" s="290" t="s">
        <v>1303</v>
      </c>
      <c r="D82" s="290">
        <v>2361.5</v>
      </c>
    </row>
    <row r="83" spans="1:10" x14ac:dyDescent="0.25">
      <c r="A83" s="290" t="s">
        <v>221</v>
      </c>
      <c r="B83" s="290" t="s">
        <v>222</v>
      </c>
      <c r="C83" s="290" t="s">
        <v>1309</v>
      </c>
      <c r="D83" s="290">
        <v>5829.5</v>
      </c>
    </row>
    <row r="84" spans="1:10" x14ac:dyDescent="0.25">
      <c r="A84" s="290" t="s">
        <v>223</v>
      </c>
      <c r="B84" s="290" t="s">
        <v>224</v>
      </c>
      <c r="C84" s="290" t="s">
        <v>1341</v>
      </c>
      <c r="D84" s="290">
        <v>350</v>
      </c>
    </row>
    <row r="85" spans="1:10" x14ac:dyDescent="0.25">
      <c r="A85" s="290" t="s">
        <v>225</v>
      </c>
      <c r="B85" s="290" t="s">
        <v>226</v>
      </c>
      <c r="C85" s="290" t="s">
        <v>1311</v>
      </c>
      <c r="D85" s="290">
        <v>13021.5</v>
      </c>
    </row>
    <row r="86" spans="1:10" x14ac:dyDescent="0.25">
      <c r="A86" s="291" t="s">
        <v>1959</v>
      </c>
      <c r="B86" s="291" t="s">
        <v>1960</v>
      </c>
      <c r="C86" s="292" t="s">
        <v>1961</v>
      </c>
      <c r="D86" s="290">
        <v>24778</v>
      </c>
    </row>
    <row r="87" spans="1:10" x14ac:dyDescent="0.25">
      <c r="A87" s="290" t="s">
        <v>227</v>
      </c>
      <c r="B87" s="290" t="s">
        <v>228</v>
      </c>
      <c r="C87" s="290" t="s">
        <v>1317</v>
      </c>
      <c r="D87" s="290">
        <v>14843</v>
      </c>
    </row>
    <row r="88" spans="1:10" x14ac:dyDescent="0.25">
      <c r="A88" s="290" t="s">
        <v>229</v>
      </c>
      <c r="B88" s="290" t="s">
        <v>230</v>
      </c>
      <c r="C88" s="290" t="s">
        <v>1319</v>
      </c>
      <c r="D88" s="290">
        <v>71369</v>
      </c>
    </row>
    <row r="89" spans="1:10" x14ac:dyDescent="0.25">
      <c r="A89" s="290" t="s">
        <v>231</v>
      </c>
      <c r="B89" s="290" t="s">
        <v>232</v>
      </c>
      <c r="C89" s="290" t="s">
        <v>1321</v>
      </c>
      <c r="D89" s="290">
        <v>18139.5</v>
      </c>
    </row>
    <row r="90" spans="1:10" x14ac:dyDescent="0.25">
      <c r="A90" s="290" t="s">
        <v>233</v>
      </c>
      <c r="B90" s="290" t="s">
        <v>234</v>
      </c>
      <c r="C90" s="290" t="s">
        <v>1323</v>
      </c>
      <c r="D90" s="290">
        <v>21676.5</v>
      </c>
    </row>
    <row r="91" spans="1:10" x14ac:dyDescent="0.25">
      <c r="A91" s="290" t="s">
        <v>235</v>
      </c>
      <c r="B91" s="290" t="s">
        <v>236</v>
      </c>
      <c r="C91" s="290" t="s">
        <v>1327</v>
      </c>
      <c r="D91" s="290">
        <v>24607</v>
      </c>
    </row>
    <row r="92" spans="1:10" x14ac:dyDescent="0.25">
      <c r="A92" s="290" t="s">
        <v>237</v>
      </c>
      <c r="B92" s="290" t="s">
        <v>238</v>
      </c>
      <c r="C92" s="290" t="s">
        <v>1329</v>
      </c>
      <c r="D92" s="290">
        <v>27122</v>
      </c>
    </row>
    <row r="93" spans="1:10" x14ac:dyDescent="0.25">
      <c r="A93" s="290" t="s">
        <v>239</v>
      </c>
      <c r="B93" s="290" t="s">
        <v>240</v>
      </c>
      <c r="C93" s="290" t="s">
        <v>1331</v>
      </c>
      <c r="D93" s="290">
        <v>36203</v>
      </c>
    </row>
    <row r="94" spans="1:10" x14ac:dyDescent="0.25">
      <c r="A94" s="290" t="s">
        <v>1285</v>
      </c>
      <c r="B94" s="290" t="s">
        <v>1297</v>
      </c>
      <c r="C94" s="290" t="s">
        <v>1284</v>
      </c>
      <c r="D94" s="290">
        <v>31661</v>
      </c>
    </row>
    <row r="95" spans="1:10" x14ac:dyDescent="0.25">
      <c r="A95" s="290" t="s">
        <v>1300</v>
      </c>
      <c r="B95" s="290" t="s">
        <v>1297</v>
      </c>
      <c r="C95" s="290" t="s">
        <v>1299</v>
      </c>
      <c r="D95" s="290">
        <v>37215</v>
      </c>
    </row>
    <row r="96" spans="1:10" x14ac:dyDescent="0.25">
      <c r="A96" s="290" t="s">
        <v>1289</v>
      </c>
      <c r="B96" s="290" t="s">
        <v>1297</v>
      </c>
      <c r="C96" s="290" t="s">
        <v>1288</v>
      </c>
      <c r="D96" s="290">
        <v>45876</v>
      </c>
    </row>
    <row r="97" spans="1:4" x14ac:dyDescent="0.25">
      <c r="A97" s="290" t="s">
        <v>1292</v>
      </c>
      <c r="B97" s="290" t="s">
        <v>1291</v>
      </c>
      <c r="C97" s="290" t="s">
        <v>1290</v>
      </c>
      <c r="D97" s="290">
        <v>37506</v>
      </c>
    </row>
    <row r="98" spans="1:4" x14ac:dyDescent="0.25">
      <c r="A98" s="290" t="s">
        <v>1296</v>
      </c>
      <c r="B98" s="290" t="s">
        <v>1297</v>
      </c>
      <c r="C98" s="290" t="s">
        <v>1295</v>
      </c>
      <c r="D98" s="290">
        <v>54413</v>
      </c>
    </row>
    <row r="99" spans="1:4" x14ac:dyDescent="0.25">
      <c r="A99" s="290" t="s">
        <v>1298</v>
      </c>
      <c r="B99" s="290" t="s">
        <v>1297</v>
      </c>
      <c r="C99" s="290" t="s">
        <v>1297</v>
      </c>
      <c r="D99" s="290">
        <v>59433</v>
      </c>
    </row>
    <row r="100" spans="1:4" x14ac:dyDescent="0.25">
      <c r="A100" s="290" t="s">
        <v>241</v>
      </c>
      <c r="B100" s="290" t="s">
        <v>242</v>
      </c>
      <c r="C100" s="290" t="s">
        <v>1920</v>
      </c>
      <c r="D100" s="290">
        <v>675</v>
      </c>
    </row>
    <row r="101" spans="1:4" x14ac:dyDescent="0.25">
      <c r="A101" s="290" t="s">
        <v>244</v>
      </c>
      <c r="B101" s="290" t="s">
        <v>245</v>
      </c>
      <c r="C101" s="290" t="s">
        <v>1921</v>
      </c>
      <c r="D101" s="290">
        <v>2116</v>
      </c>
    </row>
    <row r="102" spans="1:4" x14ac:dyDescent="0.25">
      <c r="A102" s="290" t="s">
        <v>246</v>
      </c>
      <c r="B102" s="290" t="s">
        <v>247</v>
      </c>
      <c r="C102" s="290" t="s">
        <v>1880</v>
      </c>
      <c r="D102" s="290">
        <v>982.5</v>
      </c>
    </row>
    <row r="103" spans="1:4" x14ac:dyDescent="0.25">
      <c r="A103" s="293" t="s">
        <v>266</v>
      </c>
      <c r="B103" s="293" t="s">
        <v>267</v>
      </c>
      <c r="C103" s="293" t="s">
        <v>1768</v>
      </c>
      <c r="D103" s="293">
        <v>36.5</v>
      </c>
    </row>
    <row r="104" spans="1:4" x14ac:dyDescent="0.25">
      <c r="A104" s="293" t="s">
        <v>268</v>
      </c>
      <c r="B104" s="293" t="s">
        <v>269</v>
      </c>
      <c r="C104" s="293" t="s">
        <v>1771</v>
      </c>
      <c r="D104" s="293">
        <v>36.5</v>
      </c>
    </row>
    <row r="105" spans="1:4" x14ac:dyDescent="0.25">
      <c r="A105" s="293" t="s">
        <v>270</v>
      </c>
      <c r="B105" s="293" t="s">
        <v>271</v>
      </c>
      <c r="C105" s="293" t="s">
        <v>1766</v>
      </c>
      <c r="D105" s="293">
        <v>36.5</v>
      </c>
    </row>
    <row r="106" spans="1:4" x14ac:dyDescent="0.25">
      <c r="A106" s="293" t="s">
        <v>272</v>
      </c>
      <c r="B106" s="293" t="s">
        <v>273</v>
      </c>
      <c r="C106" s="293" t="s">
        <v>1852</v>
      </c>
      <c r="D106" s="293">
        <v>208.5</v>
      </c>
    </row>
    <row r="107" spans="1:4" x14ac:dyDescent="0.25">
      <c r="A107" s="293" t="s">
        <v>274</v>
      </c>
      <c r="B107" s="293" t="s">
        <v>275</v>
      </c>
      <c r="C107" s="293" t="s">
        <v>1810</v>
      </c>
      <c r="D107" s="293">
        <v>594.5</v>
      </c>
    </row>
    <row r="108" spans="1:4" x14ac:dyDescent="0.25">
      <c r="A108" s="293" t="s">
        <v>276</v>
      </c>
      <c r="B108" s="293" t="s">
        <v>277</v>
      </c>
      <c r="C108" s="293" t="s">
        <v>1829</v>
      </c>
      <c r="D108" s="293">
        <v>545.5</v>
      </c>
    </row>
    <row r="109" spans="1:4" x14ac:dyDescent="0.25">
      <c r="A109" s="293" t="s">
        <v>278</v>
      </c>
      <c r="B109" s="293" t="s">
        <v>279</v>
      </c>
      <c r="C109" s="293" t="s">
        <v>1670</v>
      </c>
      <c r="D109" s="293">
        <v>357</v>
      </c>
    </row>
    <row r="110" spans="1:4" x14ac:dyDescent="0.25">
      <c r="A110" s="293" t="s">
        <v>280</v>
      </c>
      <c r="B110" s="293" t="s">
        <v>281</v>
      </c>
      <c r="C110" s="293" t="s">
        <v>1663</v>
      </c>
      <c r="D110" s="293">
        <v>121.5</v>
      </c>
    </row>
    <row r="111" spans="1:4" x14ac:dyDescent="0.25">
      <c r="A111" s="293" t="s">
        <v>282</v>
      </c>
      <c r="B111" s="293" t="s">
        <v>283</v>
      </c>
      <c r="C111" s="293" t="s">
        <v>1672</v>
      </c>
      <c r="D111" s="293">
        <v>181.5</v>
      </c>
    </row>
    <row r="112" spans="1:4" x14ac:dyDescent="0.25">
      <c r="A112" s="293" t="s">
        <v>284</v>
      </c>
      <c r="B112" s="293" t="s">
        <v>285</v>
      </c>
      <c r="C112" s="293" t="s">
        <v>1658</v>
      </c>
      <c r="D112" s="293">
        <v>100</v>
      </c>
    </row>
    <row r="113" spans="1:4" x14ac:dyDescent="0.25">
      <c r="A113" s="293" t="s">
        <v>286</v>
      </c>
      <c r="B113" s="293" t="s">
        <v>287</v>
      </c>
      <c r="C113" s="293" t="s">
        <v>1846</v>
      </c>
      <c r="D113" s="293">
        <v>475</v>
      </c>
    </row>
    <row r="114" spans="1:4" x14ac:dyDescent="0.25">
      <c r="A114" s="293" t="s">
        <v>288</v>
      </c>
      <c r="B114" s="293" t="s">
        <v>289</v>
      </c>
      <c r="C114" s="293" t="s">
        <v>1900</v>
      </c>
      <c r="D114" s="293">
        <v>23</v>
      </c>
    </row>
    <row r="115" spans="1:4" x14ac:dyDescent="0.25">
      <c r="A115" s="293" t="s">
        <v>290</v>
      </c>
      <c r="B115" s="293" t="s">
        <v>291</v>
      </c>
      <c r="C115" s="293" t="s">
        <v>1854</v>
      </c>
      <c r="D115" s="293">
        <v>12.5</v>
      </c>
    </row>
    <row r="116" spans="1:4" x14ac:dyDescent="0.25">
      <c r="A116" s="293" t="s">
        <v>292</v>
      </c>
      <c r="B116" s="293" t="s">
        <v>293</v>
      </c>
      <c r="C116" s="293" t="s">
        <v>1011</v>
      </c>
      <c r="D116" s="293">
        <v>6105</v>
      </c>
    </row>
    <row r="117" spans="1:4" x14ac:dyDescent="0.25">
      <c r="A117" s="293" t="s">
        <v>294</v>
      </c>
      <c r="B117" s="293" t="s">
        <v>295</v>
      </c>
      <c r="C117" s="293" t="s">
        <v>1668</v>
      </c>
      <c r="D117" s="293">
        <v>285.5</v>
      </c>
    </row>
    <row r="118" spans="1:4" x14ac:dyDescent="0.25">
      <c r="A118" s="293" t="s">
        <v>296</v>
      </c>
      <c r="B118" s="293" t="s">
        <v>297</v>
      </c>
      <c r="C118" s="293" t="s">
        <v>1631</v>
      </c>
      <c r="D118" s="293">
        <v>29.5</v>
      </c>
    </row>
    <row r="119" spans="1:4" x14ac:dyDescent="0.25">
      <c r="A119" s="293" t="s">
        <v>298</v>
      </c>
      <c r="B119" s="293" t="s">
        <v>299</v>
      </c>
      <c r="C119" s="293" t="s">
        <v>1623</v>
      </c>
      <c r="D119" s="293">
        <v>826.5</v>
      </c>
    </row>
    <row r="120" spans="1:4" x14ac:dyDescent="0.25">
      <c r="A120" s="293" t="s">
        <v>300</v>
      </c>
      <c r="B120" s="293" t="s">
        <v>301</v>
      </c>
      <c r="C120" s="293" t="s">
        <v>1609</v>
      </c>
      <c r="D120" s="293">
        <v>1768.5</v>
      </c>
    </row>
    <row r="121" spans="1:4" x14ac:dyDescent="0.25">
      <c r="A121" s="293" t="s">
        <v>302</v>
      </c>
      <c r="B121" s="293" t="s">
        <v>303</v>
      </c>
      <c r="C121" s="293" t="s">
        <v>1722</v>
      </c>
      <c r="D121" s="293">
        <v>7.5</v>
      </c>
    </row>
    <row r="122" spans="1:4" x14ac:dyDescent="0.25">
      <c r="A122" s="293" t="s">
        <v>304</v>
      </c>
      <c r="B122" s="293" t="s">
        <v>305</v>
      </c>
      <c r="C122" s="293" t="s">
        <v>1545</v>
      </c>
      <c r="D122" s="293">
        <v>618.5</v>
      </c>
    </row>
    <row r="123" spans="1:4" x14ac:dyDescent="0.25">
      <c r="A123" s="293" t="s">
        <v>306</v>
      </c>
      <c r="B123" s="293" t="s">
        <v>307</v>
      </c>
      <c r="C123" s="293" t="s">
        <v>1878</v>
      </c>
      <c r="D123" s="293">
        <v>7.5</v>
      </c>
    </row>
    <row r="124" spans="1:4" x14ac:dyDescent="0.25">
      <c r="A124" s="293" t="s">
        <v>212</v>
      </c>
      <c r="B124" s="293" t="s">
        <v>213</v>
      </c>
      <c r="C124" s="293" t="s">
        <v>1856</v>
      </c>
      <c r="D124" s="293">
        <v>953.5</v>
      </c>
    </row>
    <row r="125" spans="1:4" x14ac:dyDescent="0.25">
      <c r="A125" s="293" t="s">
        <v>214</v>
      </c>
      <c r="B125" s="293" t="s">
        <v>215</v>
      </c>
      <c r="C125" s="293" t="s">
        <v>1861</v>
      </c>
      <c r="D125" s="293">
        <v>1791.5</v>
      </c>
    </row>
    <row r="126" spans="1:4" x14ac:dyDescent="0.25">
      <c r="A126" s="293" t="s">
        <v>216</v>
      </c>
      <c r="B126" s="293" t="s">
        <v>217</v>
      </c>
      <c r="C126" s="293" t="s">
        <v>1863</v>
      </c>
      <c r="D126" s="293">
        <v>2554.5</v>
      </c>
    </row>
    <row r="127" spans="1:4" x14ac:dyDescent="0.25">
      <c r="A127" s="294" t="s">
        <v>249</v>
      </c>
      <c r="B127" s="294" t="s">
        <v>250</v>
      </c>
      <c r="C127" s="294" t="s">
        <v>1910</v>
      </c>
      <c r="D127" s="294">
        <v>115.5</v>
      </c>
    </row>
    <row r="128" spans="1:4" x14ac:dyDescent="0.25">
      <c r="A128" s="294" t="s">
        <v>251</v>
      </c>
      <c r="B128" s="294" t="s">
        <v>252</v>
      </c>
      <c r="C128" s="294" t="s">
        <v>1912</v>
      </c>
      <c r="D128" s="294">
        <v>115.5</v>
      </c>
    </row>
    <row r="129" spans="1:4" x14ac:dyDescent="0.25">
      <c r="A129" s="294" t="s">
        <v>253</v>
      </c>
      <c r="B129" s="294" t="s">
        <v>254</v>
      </c>
      <c r="C129" s="294" t="s">
        <v>1922</v>
      </c>
      <c r="D129" s="294">
        <v>115.5</v>
      </c>
    </row>
    <row r="130" spans="1:4" x14ac:dyDescent="0.25">
      <c r="A130" s="294" t="s">
        <v>255</v>
      </c>
      <c r="B130" s="294" t="s">
        <v>256</v>
      </c>
      <c r="C130" s="294" t="s">
        <v>1923</v>
      </c>
      <c r="D130" s="294">
        <v>62.5</v>
      </c>
    </row>
    <row r="131" spans="1:4" x14ac:dyDescent="0.25">
      <c r="A131" s="294" t="s">
        <v>257</v>
      </c>
      <c r="B131" s="294" t="s">
        <v>258</v>
      </c>
      <c r="C131" s="294" t="s">
        <v>1907</v>
      </c>
      <c r="D131" s="294">
        <v>62.5</v>
      </c>
    </row>
    <row r="132" spans="1:4" x14ac:dyDescent="0.25">
      <c r="A132" s="294" t="s">
        <v>259</v>
      </c>
      <c r="B132" s="294" t="s">
        <v>260</v>
      </c>
      <c r="C132" s="294" t="s">
        <v>1914</v>
      </c>
      <c r="D132" s="294">
        <v>167</v>
      </c>
    </row>
    <row r="133" spans="1:4" x14ac:dyDescent="0.25">
      <c r="A133" s="294" t="s">
        <v>261</v>
      </c>
      <c r="B133" s="294" t="s">
        <v>262</v>
      </c>
      <c r="C133" s="294" t="s">
        <v>1925</v>
      </c>
      <c r="D133" s="294">
        <v>62.5</v>
      </c>
    </row>
    <row r="134" spans="1:4" x14ac:dyDescent="0.25">
      <c r="A134" s="294" t="s">
        <v>263</v>
      </c>
      <c r="B134" s="294" t="s">
        <v>264</v>
      </c>
      <c r="C134" s="294" t="s">
        <v>1924</v>
      </c>
      <c r="D134" s="294">
        <v>62.5</v>
      </c>
    </row>
    <row r="135" spans="1:4" x14ac:dyDescent="0.25">
      <c r="A135" s="295" t="s">
        <v>309</v>
      </c>
      <c r="B135" s="295" t="s">
        <v>310</v>
      </c>
      <c r="C135" s="295" t="s">
        <v>834</v>
      </c>
      <c r="D135" s="295">
        <v>6132.5</v>
      </c>
    </row>
    <row r="136" spans="1:4" x14ac:dyDescent="0.25">
      <c r="A136" s="295" t="s">
        <v>311</v>
      </c>
      <c r="B136" s="295" t="s">
        <v>312</v>
      </c>
      <c r="C136" s="295" t="s">
        <v>843</v>
      </c>
      <c r="D136" s="295">
        <v>6132.5</v>
      </c>
    </row>
    <row r="137" spans="1:4" x14ac:dyDescent="0.25">
      <c r="A137" s="296" t="s">
        <v>143</v>
      </c>
      <c r="B137" s="296" t="s">
        <v>144</v>
      </c>
      <c r="C137" s="296" t="s">
        <v>1929</v>
      </c>
      <c r="D137" s="296">
        <v>62.5</v>
      </c>
    </row>
    <row r="138" spans="1:4" x14ac:dyDescent="0.25">
      <c r="A138" s="296" t="s">
        <v>320</v>
      </c>
      <c r="B138" s="296" t="s">
        <v>321</v>
      </c>
      <c r="C138" s="296" t="s">
        <v>1313</v>
      </c>
      <c r="D138" s="296">
        <v>30712</v>
      </c>
    </row>
    <row r="139" spans="1:4" x14ac:dyDescent="0.25">
      <c r="A139" s="296" t="s">
        <v>322</v>
      </c>
      <c r="B139" s="296" t="s">
        <v>323</v>
      </c>
      <c r="C139" s="296" t="s">
        <v>1313</v>
      </c>
      <c r="D139" s="296">
        <v>30702.5</v>
      </c>
    </row>
    <row r="140" spans="1:4" x14ac:dyDescent="0.25">
      <c r="A140" s="296" t="s">
        <v>324</v>
      </c>
      <c r="B140" s="296" t="s">
        <v>325</v>
      </c>
      <c r="C140" s="296" t="s">
        <v>1938</v>
      </c>
      <c r="D140" s="296">
        <v>30741</v>
      </c>
    </row>
    <row r="141" spans="1:4" x14ac:dyDescent="0.25">
      <c r="A141" s="296" t="s">
        <v>326</v>
      </c>
      <c r="B141" s="296" t="s">
        <v>327</v>
      </c>
      <c r="C141" s="296" t="s">
        <v>1939</v>
      </c>
      <c r="D141" s="296">
        <v>30731.5</v>
      </c>
    </row>
    <row r="142" spans="1:4" x14ac:dyDescent="0.25">
      <c r="A142" s="296" t="s">
        <v>328</v>
      </c>
      <c r="B142" s="296" t="s">
        <v>329</v>
      </c>
      <c r="C142" s="296" t="s">
        <v>1954</v>
      </c>
      <c r="D142" s="296">
        <v>31998.5</v>
      </c>
    </row>
    <row r="143" spans="1:4" x14ac:dyDescent="0.25">
      <c r="A143" s="296" t="s">
        <v>330</v>
      </c>
      <c r="B143" s="296" t="s">
        <v>331</v>
      </c>
      <c r="C143" s="296" t="s">
        <v>1953</v>
      </c>
      <c r="D143" s="296">
        <v>31989</v>
      </c>
    </row>
    <row r="144" spans="1:4" x14ac:dyDescent="0.25">
      <c r="A144" s="296" t="s">
        <v>332</v>
      </c>
      <c r="B144" s="296" t="s">
        <v>333</v>
      </c>
      <c r="C144" s="296" t="s">
        <v>1942</v>
      </c>
      <c r="D144" s="296">
        <v>31979</v>
      </c>
    </row>
    <row r="145" spans="1:4" x14ac:dyDescent="0.25">
      <c r="A145" s="296" t="s">
        <v>334</v>
      </c>
      <c r="B145" s="296" t="s">
        <v>335</v>
      </c>
      <c r="C145" s="296" t="s">
        <v>1943</v>
      </c>
      <c r="D145" s="296">
        <v>31969.5</v>
      </c>
    </row>
    <row r="146" spans="1:4" x14ac:dyDescent="0.25">
      <c r="A146" s="296" t="s">
        <v>1952</v>
      </c>
      <c r="B146" s="296" t="s">
        <v>412</v>
      </c>
      <c r="C146" s="296" t="s">
        <v>1250</v>
      </c>
      <c r="D146" s="296">
        <v>5593</v>
      </c>
    </row>
    <row r="147" spans="1:4" x14ac:dyDescent="0.25">
      <c r="A147" s="296" t="s">
        <v>1932</v>
      </c>
      <c r="B147" s="296" t="s">
        <v>579</v>
      </c>
      <c r="C147" s="296" t="s">
        <v>1946</v>
      </c>
      <c r="D147" s="296">
        <v>1.5</v>
      </c>
    </row>
    <row r="148" spans="1:4" x14ac:dyDescent="0.25">
      <c r="A148" s="296" t="s">
        <v>1933</v>
      </c>
      <c r="B148" s="296" t="s">
        <v>1935</v>
      </c>
      <c r="C148" s="296" t="s">
        <v>1944</v>
      </c>
      <c r="D148" s="296">
        <v>1.5</v>
      </c>
    </row>
    <row r="149" spans="1:4" x14ac:dyDescent="0.25">
      <c r="A149" s="296" t="s">
        <v>1934</v>
      </c>
      <c r="B149" s="296" t="s">
        <v>1937</v>
      </c>
      <c r="C149" s="296" t="s">
        <v>1950</v>
      </c>
      <c r="D149" s="296">
        <v>214</v>
      </c>
    </row>
    <row r="150" spans="1:4" x14ac:dyDescent="0.25">
      <c r="A150" s="296" t="s">
        <v>1931</v>
      </c>
      <c r="B150" s="296" t="s">
        <v>1936</v>
      </c>
      <c r="C150" s="296" t="s">
        <v>1945</v>
      </c>
      <c r="D150" s="296">
        <v>21.5</v>
      </c>
    </row>
  </sheetData>
  <phoneticPr fontId="5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6C94-0DA0-48F7-8A36-8D9216EF7279}">
  <dimension ref="A1:J146"/>
  <sheetViews>
    <sheetView zoomScaleNormal="100" workbookViewId="0">
      <selection activeCell="A68" sqref="A68:D68"/>
    </sheetView>
  </sheetViews>
  <sheetFormatPr defaultRowHeight="15" x14ac:dyDescent="0.25"/>
  <cols>
    <col min="1" max="1" width="68" bestFit="1" customWidth="1"/>
    <col min="2" max="2" width="18.28515625" bestFit="1" customWidth="1"/>
    <col min="3" max="3" width="20.28515625" bestFit="1" customWidth="1"/>
    <col min="4" max="4" width="8" bestFit="1" customWidth="1"/>
  </cols>
  <sheetData>
    <row r="1" spans="1:4" x14ac:dyDescent="0.25">
      <c r="A1" s="251" t="s">
        <v>17</v>
      </c>
      <c r="B1" s="251" t="s">
        <v>18</v>
      </c>
      <c r="C1" s="251" t="s">
        <v>702</v>
      </c>
      <c r="D1" s="251">
        <v>3181</v>
      </c>
    </row>
    <row r="2" spans="1:4" x14ac:dyDescent="0.25">
      <c r="A2" s="251" t="s">
        <v>19</v>
      </c>
      <c r="B2" s="251" t="s">
        <v>20</v>
      </c>
      <c r="C2" s="251" t="s">
        <v>709</v>
      </c>
      <c r="D2" s="251">
        <v>3061.5</v>
      </c>
    </row>
    <row r="3" spans="1:4" x14ac:dyDescent="0.25">
      <c r="A3" s="251" t="s">
        <v>22</v>
      </c>
      <c r="B3" s="251" t="s">
        <v>23</v>
      </c>
      <c r="C3" s="251" t="s">
        <v>744</v>
      </c>
      <c r="D3" s="251">
        <v>3550</v>
      </c>
    </row>
    <row r="4" spans="1:4" x14ac:dyDescent="0.25">
      <c r="A4" s="251" t="s">
        <v>24</v>
      </c>
      <c r="B4" s="251" t="s">
        <v>25</v>
      </c>
      <c r="C4" s="251" t="s">
        <v>732</v>
      </c>
      <c r="D4" s="251">
        <v>3180</v>
      </c>
    </row>
    <row r="5" spans="1:4" x14ac:dyDescent="0.25">
      <c r="A5" s="251" t="s">
        <v>27</v>
      </c>
      <c r="B5" s="251" t="s">
        <v>28</v>
      </c>
      <c r="C5" s="251" t="s">
        <v>752</v>
      </c>
      <c r="D5" s="251">
        <v>1419.5</v>
      </c>
    </row>
    <row r="6" spans="1:4" x14ac:dyDescent="0.25">
      <c r="A6" s="251" t="s">
        <v>29</v>
      </c>
      <c r="B6" s="251" t="s">
        <v>30</v>
      </c>
      <c r="C6" s="251" t="s">
        <v>756</v>
      </c>
      <c r="D6" s="251">
        <v>1345</v>
      </c>
    </row>
    <row r="7" spans="1:4" x14ac:dyDescent="0.25">
      <c r="A7" s="251" t="s">
        <v>31</v>
      </c>
      <c r="B7" s="251" t="s">
        <v>32</v>
      </c>
      <c r="C7" s="251" t="s">
        <v>749</v>
      </c>
      <c r="D7" s="251">
        <v>1419.5</v>
      </c>
    </row>
    <row r="8" spans="1:4" x14ac:dyDescent="0.25">
      <c r="A8" s="251" t="s">
        <v>33</v>
      </c>
      <c r="B8" s="251" t="s">
        <v>34</v>
      </c>
      <c r="C8" s="251" t="s">
        <v>754</v>
      </c>
      <c r="D8" s="251">
        <v>1345</v>
      </c>
    </row>
    <row r="9" spans="1:4" x14ac:dyDescent="0.25">
      <c r="A9" s="251" t="s">
        <v>36</v>
      </c>
      <c r="B9" s="251" t="s">
        <v>37</v>
      </c>
      <c r="C9" s="251" t="s">
        <v>784</v>
      </c>
      <c r="D9" s="251">
        <v>1345</v>
      </c>
    </row>
    <row r="10" spans="1:4" x14ac:dyDescent="0.25">
      <c r="A10" s="251" t="s">
        <v>38</v>
      </c>
      <c r="B10" s="251" t="s">
        <v>39</v>
      </c>
      <c r="C10" s="251" t="s">
        <v>793</v>
      </c>
      <c r="D10" s="251">
        <v>2497.5</v>
      </c>
    </row>
    <row r="11" spans="1:4" x14ac:dyDescent="0.25">
      <c r="A11" s="251" t="s">
        <v>40</v>
      </c>
      <c r="B11" s="251" t="s">
        <v>41</v>
      </c>
      <c r="C11" s="251" t="s">
        <v>758</v>
      </c>
      <c r="D11" s="251">
        <v>1419.5</v>
      </c>
    </row>
    <row r="12" spans="1:4" x14ac:dyDescent="0.25">
      <c r="A12" s="251" t="s">
        <v>42</v>
      </c>
      <c r="B12" s="251" t="s">
        <v>43</v>
      </c>
      <c r="C12" s="252" t="s">
        <v>763</v>
      </c>
      <c r="D12" s="251">
        <v>1873.5</v>
      </c>
    </row>
    <row r="13" spans="1:4" x14ac:dyDescent="0.25">
      <c r="A13" s="251" t="s">
        <v>45</v>
      </c>
      <c r="B13" s="251" t="s">
        <v>46</v>
      </c>
      <c r="C13" s="251" t="s">
        <v>765</v>
      </c>
      <c r="D13" s="251">
        <v>3181</v>
      </c>
    </row>
    <row r="14" spans="1:4" x14ac:dyDescent="0.25">
      <c r="A14" s="251" t="s">
        <v>47</v>
      </c>
      <c r="B14" s="251" t="s">
        <v>48</v>
      </c>
      <c r="C14" s="251" t="s">
        <v>768</v>
      </c>
      <c r="D14" s="251">
        <v>1419.5</v>
      </c>
    </row>
    <row r="15" spans="1:4" x14ac:dyDescent="0.25">
      <c r="A15" s="251" t="s">
        <v>52</v>
      </c>
      <c r="B15" s="251" t="s">
        <v>53</v>
      </c>
      <c r="C15" s="251" t="s">
        <v>822</v>
      </c>
      <c r="D15" s="251">
        <v>2467.5</v>
      </c>
    </row>
    <row r="16" spans="1:4" x14ac:dyDescent="0.25">
      <c r="A16" s="253" t="s">
        <v>55</v>
      </c>
      <c r="B16" s="254" t="s">
        <v>56</v>
      </c>
      <c r="C16" s="254" t="s">
        <v>801</v>
      </c>
      <c r="D16" s="254">
        <v>1395.5</v>
      </c>
    </row>
    <row r="17" spans="1:4" x14ac:dyDescent="0.25">
      <c r="A17" s="253" t="s">
        <v>57</v>
      </c>
      <c r="B17" s="253" t="s">
        <v>58</v>
      </c>
      <c r="C17" s="255" t="s">
        <v>812</v>
      </c>
      <c r="D17" s="253">
        <v>1658</v>
      </c>
    </row>
    <row r="18" spans="1:4" x14ac:dyDescent="0.25">
      <c r="A18" s="254" t="s">
        <v>59</v>
      </c>
      <c r="B18" s="254" t="s">
        <v>60</v>
      </c>
      <c r="C18" s="254" t="s">
        <v>804</v>
      </c>
      <c r="D18" s="254">
        <v>1395.5</v>
      </c>
    </row>
    <row r="19" spans="1:4" x14ac:dyDescent="0.25">
      <c r="A19" s="254" t="s">
        <v>61</v>
      </c>
      <c r="B19" s="254" t="s">
        <v>62</v>
      </c>
      <c r="C19" s="254" t="s">
        <v>814</v>
      </c>
      <c r="D19" s="254">
        <v>1658</v>
      </c>
    </row>
    <row r="20" spans="1:4" x14ac:dyDescent="0.25">
      <c r="A20" s="254" t="s">
        <v>63</v>
      </c>
      <c r="B20" s="254" t="s">
        <v>64</v>
      </c>
      <c r="C20" s="254" t="s">
        <v>806</v>
      </c>
      <c r="D20" s="254">
        <v>1395.5</v>
      </c>
    </row>
    <row r="21" spans="1:4" x14ac:dyDescent="0.25">
      <c r="A21" s="254" t="s">
        <v>65</v>
      </c>
      <c r="B21" s="254" t="s">
        <v>66</v>
      </c>
      <c r="C21" s="254" t="s">
        <v>816</v>
      </c>
      <c r="D21" s="254">
        <v>1658</v>
      </c>
    </row>
    <row r="22" spans="1:4" x14ac:dyDescent="0.25">
      <c r="A22" s="254" t="s">
        <v>67</v>
      </c>
      <c r="B22" s="254" t="s">
        <v>68</v>
      </c>
      <c r="C22" s="254" t="s">
        <v>810</v>
      </c>
      <c r="D22" s="254">
        <v>1395.5</v>
      </c>
    </row>
    <row r="23" spans="1:4" x14ac:dyDescent="0.25">
      <c r="A23" s="254" t="s">
        <v>69</v>
      </c>
      <c r="B23" s="254" t="s">
        <v>70</v>
      </c>
      <c r="C23" s="254" t="s">
        <v>820</v>
      </c>
      <c r="D23" s="254">
        <v>1658</v>
      </c>
    </row>
    <row r="24" spans="1:4" x14ac:dyDescent="0.25">
      <c r="A24" s="254" t="s">
        <v>71</v>
      </c>
      <c r="B24" s="254" t="s">
        <v>72</v>
      </c>
      <c r="C24" s="254" t="s">
        <v>808</v>
      </c>
      <c r="D24" s="254">
        <v>1395.5</v>
      </c>
    </row>
    <row r="25" spans="1:4" x14ac:dyDescent="0.25">
      <c r="A25" s="254" t="s">
        <v>73</v>
      </c>
      <c r="B25" s="254" t="s">
        <v>74</v>
      </c>
      <c r="C25" s="254" t="s">
        <v>818</v>
      </c>
      <c r="D25" s="254">
        <v>1658</v>
      </c>
    </row>
    <row r="26" spans="1:4" x14ac:dyDescent="0.25">
      <c r="A26" s="254" t="s">
        <v>75</v>
      </c>
      <c r="B26" s="254" t="s">
        <v>76</v>
      </c>
      <c r="C26" s="254" t="s">
        <v>1870</v>
      </c>
      <c r="D26" s="254">
        <v>1395.5</v>
      </c>
    </row>
    <row r="27" spans="1:4" x14ac:dyDescent="0.25">
      <c r="A27" s="254" t="s">
        <v>77</v>
      </c>
      <c r="B27" s="254" t="s">
        <v>78</v>
      </c>
      <c r="C27" s="254" t="s">
        <v>1876</v>
      </c>
      <c r="D27" s="254">
        <v>1658</v>
      </c>
    </row>
    <row r="28" spans="1:4" x14ac:dyDescent="0.25">
      <c r="A28" s="254" t="s">
        <v>79</v>
      </c>
      <c r="B28" s="254" t="s">
        <v>80</v>
      </c>
      <c r="C28" s="254" t="s">
        <v>1865</v>
      </c>
      <c r="D28" s="254">
        <v>1395.5</v>
      </c>
    </row>
    <row r="29" spans="1:4" x14ac:dyDescent="0.25">
      <c r="A29" s="254" t="s">
        <v>81</v>
      </c>
      <c r="B29" s="254" t="s">
        <v>82</v>
      </c>
      <c r="C29" s="254" t="s">
        <v>1872</v>
      </c>
      <c r="D29" s="254">
        <v>1658</v>
      </c>
    </row>
    <row r="30" spans="1:4" x14ac:dyDescent="0.25">
      <c r="A30" s="254" t="s">
        <v>83</v>
      </c>
      <c r="B30" s="254" t="s">
        <v>84</v>
      </c>
      <c r="C30" s="254" t="s">
        <v>1868</v>
      </c>
      <c r="D30" s="254">
        <v>1395.5</v>
      </c>
    </row>
    <row r="31" spans="1:4" x14ac:dyDescent="0.25">
      <c r="A31" s="254" t="s">
        <v>85</v>
      </c>
      <c r="B31" s="254" t="s">
        <v>86</v>
      </c>
      <c r="C31" s="254" t="s">
        <v>1874</v>
      </c>
      <c r="D31" s="254">
        <v>1658</v>
      </c>
    </row>
    <row r="32" spans="1:4" x14ac:dyDescent="0.25">
      <c r="A32" s="256" t="s">
        <v>88</v>
      </c>
      <c r="B32" s="256" t="s">
        <v>89</v>
      </c>
      <c r="C32" s="256" t="s">
        <v>1799</v>
      </c>
      <c r="D32" s="256">
        <v>26</v>
      </c>
    </row>
    <row r="33" spans="1:4" x14ac:dyDescent="0.25">
      <c r="A33" s="256" t="s">
        <v>90</v>
      </c>
      <c r="B33" s="256" t="s">
        <v>91</v>
      </c>
      <c r="C33" s="256" t="s">
        <v>1837</v>
      </c>
      <c r="D33" s="256">
        <v>423</v>
      </c>
    </row>
    <row r="34" spans="1:4" x14ac:dyDescent="0.25">
      <c r="A34" s="256" t="s">
        <v>92</v>
      </c>
      <c r="B34" s="256" t="s">
        <v>93</v>
      </c>
      <c r="C34" s="256" t="s">
        <v>1840</v>
      </c>
      <c r="D34" s="256">
        <v>636</v>
      </c>
    </row>
    <row r="35" spans="1:4" x14ac:dyDescent="0.25">
      <c r="A35" s="256" t="s">
        <v>94</v>
      </c>
      <c r="B35" s="256" t="s">
        <v>95</v>
      </c>
      <c r="C35" s="256" t="s">
        <v>1843</v>
      </c>
      <c r="D35" s="256">
        <v>739.5</v>
      </c>
    </row>
    <row r="36" spans="1:4" x14ac:dyDescent="0.25">
      <c r="A36" s="256" t="s">
        <v>96</v>
      </c>
      <c r="B36" s="256" t="s">
        <v>97</v>
      </c>
      <c r="C36" s="256" t="s">
        <v>1417</v>
      </c>
      <c r="D36" s="256">
        <v>10.5</v>
      </c>
    </row>
    <row r="37" spans="1:4" x14ac:dyDescent="0.25">
      <c r="A37" s="256" t="s">
        <v>98</v>
      </c>
      <c r="B37" s="256" t="s">
        <v>99</v>
      </c>
      <c r="C37" s="256" t="s">
        <v>730</v>
      </c>
      <c r="D37" s="256">
        <v>26</v>
      </c>
    </row>
    <row r="38" spans="1:4" x14ac:dyDescent="0.25">
      <c r="A38" s="256" t="s">
        <v>100</v>
      </c>
      <c r="B38" s="256" t="s">
        <v>101</v>
      </c>
      <c r="C38" s="256" t="s">
        <v>726</v>
      </c>
      <c r="D38" s="256">
        <v>20</v>
      </c>
    </row>
    <row r="39" spans="1:4" x14ac:dyDescent="0.25">
      <c r="A39" s="257" t="s">
        <v>105</v>
      </c>
      <c r="B39" s="257" t="s">
        <v>106</v>
      </c>
      <c r="C39" s="257" t="s">
        <v>876</v>
      </c>
      <c r="D39" s="257">
        <v>48792</v>
      </c>
    </row>
    <row r="40" spans="1:4" x14ac:dyDescent="0.25">
      <c r="A40" s="257" t="s">
        <v>107</v>
      </c>
      <c r="B40" s="257" t="s">
        <v>108</v>
      </c>
      <c r="C40" s="257" t="s">
        <v>871</v>
      </c>
      <c r="D40" s="257">
        <v>49000</v>
      </c>
    </row>
    <row r="41" spans="1:4" x14ac:dyDescent="0.25">
      <c r="A41" s="257" t="s">
        <v>110</v>
      </c>
      <c r="B41" s="257" t="s">
        <v>111</v>
      </c>
      <c r="C41" s="257" t="s">
        <v>931</v>
      </c>
      <c r="D41" s="257">
        <v>51355.5</v>
      </c>
    </row>
    <row r="42" spans="1:4" x14ac:dyDescent="0.25">
      <c r="A42" s="257" t="s">
        <v>112</v>
      </c>
      <c r="B42" s="257" t="s">
        <v>113</v>
      </c>
      <c r="C42" s="257" t="s">
        <v>925</v>
      </c>
      <c r="D42" s="257">
        <v>51362</v>
      </c>
    </row>
    <row r="43" spans="1:4" x14ac:dyDescent="0.25">
      <c r="A43" s="257" t="s">
        <v>116</v>
      </c>
      <c r="B43" s="257" t="s">
        <v>117</v>
      </c>
      <c r="C43" s="257" t="s">
        <v>878</v>
      </c>
      <c r="D43" s="257">
        <v>34337.5</v>
      </c>
    </row>
    <row r="44" spans="1:4" x14ac:dyDescent="0.25">
      <c r="A44" s="257" t="s">
        <v>118</v>
      </c>
      <c r="B44" s="257" t="s">
        <v>119</v>
      </c>
      <c r="C44" s="257" t="s">
        <v>873</v>
      </c>
      <c r="D44" s="257">
        <v>36810</v>
      </c>
    </row>
    <row r="45" spans="1:4" x14ac:dyDescent="0.25">
      <c r="A45" s="257" t="s">
        <v>120</v>
      </c>
      <c r="B45" s="257" t="s">
        <v>121</v>
      </c>
      <c r="C45" s="257" t="s">
        <v>933</v>
      </c>
      <c r="D45" s="257">
        <v>36700</v>
      </c>
    </row>
    <row r="46" spans="1:4" x14ac:dyDescent="0.25">
      <c r="A46" s="257" t="s">
        <v>122</v>
      </c>
      <c r="B46" s="257" t="s">
        <v>123</v>
      </c>
      <c r="C46" s="257" t="s">
        <v>928</v>
      </c>
      <c r="D46" s="257">
        <v>37903</v>
      </c>
    </row>
    <row r="47" spans="1:4" x14ac:dyDescent="0.25">
      <c r="A47" s="257" t="s">
        <v>126</v>
      </c>
      <c r="B47" s="257" t="s">
        <v>456</v>
      </c>
      <c r="C47" s="257" t="s">
        <v>935</v>
      </c>
      <c r="D47" s="257">
        <v>25812</v>
      </c>
    </row>
    <row r="48" spans="1:4" x14ac:dyDescent="0.25">
      <c r="A48" s="257" t="s">
        <v>128</v>
      </c>
      <c r="B48" s="257" t="s">
        <v>129</v>
      </c>
      <c r="C48" s="257" t="s">
        <v>986</v>
      </c>
      <c r="D48" s="257">
        <v>29700.5</v>
      </c>
    </row>
    <row r="49" spans="1:4" x14ac:dyDescent="0.25">
      <c r="A49" s="258" t="s">
        <v>131</v>
      </c>
      <c r="B49" s="258" t="s">
        <v>132</v>
      </c>
      <c r="C49" s="258" t="s">
        <v>1720</v>
      </c>
      <c r="D49" s="258">
        <v>2077.5</v>
      </c>
    </row>
    <row r="50" spans="1:4" x14ac:dyDescent="0.25">
      <c r="A50" s="258" t="s">
        <v>133</v>
      </c>
      <c r="B50" s="258" t="s">
        <v>134</v>
      </c>
      <c r="C50" s="258" t="s">
        <v>1727</v>
      </c>
      <c r="D50" s="258">
        <v>4898</v>
      </c>
    </row>
    <row r="51" spans="1:4" x14ac:dyDescent="0.25">
      <c r="A51" s="250" t="s">
        <v>136</v>
      </c>
      <c r="B51" s="250" t="s">
        <v>137</v>
      </c>
      <c r="C51" s="250" t="s">
        <v>1926</v>
      </c>
      <c r="D51" s="250">
        <v>62.5</v>
      </c>
    </row>
    <row r="52" spans="1:4" x14ac:dyDescent="0.25">
      <c r="A52" s="250" t="s">
        <v>138</v>
      </c>
      <c r="B52" s="250" t="s">
        <v>139</v>
      </c>
      <c r="C52" s="250" t="s">
        <v>1927</v>
      </c>
      <c r="D52" s="250">
        <v>62.5</v>
      </c>
    </row>
    <row r="53" spans="1:4" x14ac:dyDescent="0.25">
      <c r="A53" s="250" t="s">
        <v>140</v>
      </c>
      <c r="B53" s="250" t="s">
        <v>141</v>
      </c>
      <c r="C53" s="250" t="s">
        <v>1928</v>
      </c>
      <c r="D53" s="250">
        <v>62.5</v>
      </c>
    </row>
    <row r="54" spans="1:4" x14ac:dyDescent="0.25">
      <c r="A54" s="250" t="s">
        <v>145</v>
      </c>
      <c r="B54" s="250" t="s">
        <v>146</v>
      </c>
      <c r="C54" s="250" t="s">
        <v>1930</v>
      </c>
      <c r="D54" s="250">
        <v>62.5</v>
      </c>
    </row>
    <row r="55" spans="1:4" x14ac:dyDescent="0.25">
      <c r="A55" s="259" t="s">
        <v>150</v>
      </c>
      <c r="B55" s="259" t="s">
        <v>151</v>
      </c>
      <c r="C55" s="259" t="s">
        <v>980</v>
      </c>
      <c r="D55" s="259">
        <v>6953.5</v>
      </c>
    </row>
    <row r="56" spans="1:4" x14ac:dyDescent="0.25">
      <c r="A56" s="259" t="s">
        <v>152</v>
      </c>
      <c r="B56" s="259" t="s">
        <v>153</v>
      </c>
      <c r="C56" s="259" t="s">
        <v>997</v>
      </c>
      <c r="D56" s="259">
        <v>7166</v>
      </c>
    </row>
    <row r="57" spans="1:4" x14ac:dyDescent="0.25">
      <c r="A57" s="259" t="s">
        <v>155</v>
      </c>
      <c r="B57" s="259" t="s">
        <v>156</v>
      </c>
      <c r="C57" s="259" t="s">
        <v>1086</v>
      </c>
      <c r="D57" s="259">
        <v>6493</v>
      </c>
    </row>
    <row r="58" spans="1:4" x14ac:dyDescent="0.25">
      <c r="A58" s="259" t="s">
        <v>157</v>
      </c>
      <c r="B58" s="259" t="s">
        <v>158</v>
      </c>
      <c r="C58" s="259" t="s">
        <v>1089</v>
      </c>
      <c r="D58" s="259">
        <v>2607</v>
      </c>
    </row>
    <row r="59" spans="1:4" x14ac:dyDescent="0.25">
      <c r="A59" s="259" t="s">
        <v>162</v>
      </c>
      <c r="B59" s="259" t="s">
        <v>163</v>
      </c>
      <c r="C59" s="259" t="s">
        <v>1078</v>
      </c>
      <c r="D59" s="259">
        <v>7215.5</v>
      </c>
    </row>
    <row r="60" spans="1:4" x14ac:dyDescent="0.25">
      <c r="A60" s="259" t="s">
        <v>164</v>
      </c>
      <c r="B60" s="259" t="s">
        <v>165</v>
      </c>
      <c r="C60" s="259" t="s">
        <v>1023</v>
      </c>
      <c r="D60" s="259">
        <v>1708.5</v>
      </c>
    </row>
    <row r="61" spans="1:4" x14ac:dyDescent="0.25">
      <c r="A61" s="259" t="s">
        <v>166</v>
      </c>
      <c r="B61" s="259" t="s">
        <v>167</v>
      </c>
      <c r="C61" s="259" t="s">
        <v>1106</v>
      </c>
      <c r="D61" s="259">
        <v>2659.5</v>
      </c>
    </row>
    <row r="62" spans="1:4" x14ac:dyDescent="0.25">
      <c r="A62" s="259" t="s">
        <v>168</v>
      </c>
      <c r="B62" s="259" t="s">
        <v>169</v>
      </c>
      <c r="C62" s="259" t="s">
        <v>1206</v>
      </c>
      <c r="D62" s="259">
        <v>3360</v>
      </c>
    </row>
    <row r="63" spans="1:4" x14ac:dyDescent="0.25">
      <c r="A63" s="259" t="s">
        <v>170</v>
      </c>
      <c r="B63" s="259" t="s">
        <v>171</v>
      </c>
      <c r="C63" s="260" t="s">
        <v>1951</v>
      </c>
      <c r="D63" s="259">
        <v>813.5</v>
      </c>
    </row>
    <row r="64" spans="1:4" x14ac:dyDescent="0.25">
      <c r="A64" s="259" t="s">
        <v>172</v>
      </c>
      <c r="B64" s="259" t="s">
        <v>173</v>
      </c>
      <c r="C64" s="259" t="s">
        <v>1185</v>
      </c>
      <c r="D64" s="259">
        <v>169</v>
      </c>
    </row>
    <row r="65" spans="1:4" x14ac:dyDescent="0.25">
      <c r="A65" s="259" t="s">
        <v>174</v>
      </c>
      <c r="B65" s="259" t="s">
        <v>175</v>
      </c>
      <c r="C65" s="259" t="s">
        <v>1183</v>
      </c>
      <c r="D65" s="259">
        <v>143.5</v>
      </c>
    </row>
    <row r="66" spans="1:4" x14ac:dyDescent="0.25">
      <c r="A66" s="259" t="s">
        <v>176</v>
      </c>
      <c r="B66" s="259" t="s">
        <v>177</v>
      </c>
      <c r="C66" s="259" t="s">
        <v>1116</v>
      </c>
      <c r="D66" s="259">
        <v>855</v>
      </c>
    </row>
    <row r="67" spans="1:4" x14ac:dyDescent="0.25">
      <c r="A67" s="259" t="s">
        <v>178</v>
      </c>
      <c r="B67" s="259" t="s">
        <v>179</v>
      </c>
      <c r="C67" s="259" t="s">
        <v>1014</v>
      </c>
      <c r="D67" s="259">
        <v>855</v>
      </c>
    </row>
    <row r="68" spans="1:4" x14ac:dyDescent="0.25">
      <c r="A68" s="259" t="s">
        <v>180</v>
      </c>
      <c r="B68" s="259" t="s">
        <v>181</v>
      </c>
      <c r="C68" s="259" t="s">
        <v>1019</v>
      </c>
      <c r="D68" s="259">
        <v>7292</v>
      </c>
    </row>
    <row r="69" spans="1:4" x14ac:dyDescent="0.25">
      <c r="A69" s="259" t="s">
        <v>188</v>
      </c>
      <c r="B69" s="259" t="s">
        <v>189</v>
      </c>
      <c r="C69" s="259" t="s">
        <v>1098</v>
      </c>
      <c r="D69" s="259">
        <v>2163.5</v>
      </c>
    </row>
    <row r="70" spans="1:4" x14ac:dyDescent="0.25">
      <c r="A70" s="259" t="s">
        <v>190</v>
      </c>
      <c r="B70" s="259" t="s">
        <v>191</v>
      </c>
      <c r="C70" s="259" t="s">
        <v>1104</v>
      </c>
      <c r="D70" s="259">
        <v>3209.5</v>
      </c>
    </row>
    <row r="71" spans="1:4" x14ac:dyDescent="0.25">
      <c r="A71" s="259" t="s">
        <v>192</v>
      </c>
      <c r="B71" s="259" t="s">
        <v>193</v>
      </c>
      <c r="C71" s="259" t="s">
        <v>1091</v>
      </c>
      <c r="D71" s="259">
        <v>3681.5</v>
      </c>
    </row>
    <row r="72" spans="1:4" x14ac:dyDescent="0.25">
      <c r="A72" s="259" t="s">
        <v>195</v>
      </c>
      <c r="B72" s="259" t="s">
        <v>196</v>
      </c>
      <c r="C72" s="259" t="s">
        <v>1674</v>
      </c>
      <c r="D72" s="259">
        <v>3838</v>
      </c>
    </row>
    <row r="73" spans="1:4" x14ac:dyDescent="0.25">
      <c r="A73" s="259" t="s">
        <v>197</v>
      </c>
      <c r="B73" s="259" t="s">
        <v>198</v>
      </c>
      <c r="C73" s="259" t="s">
        <v>1677</v>
      </c>
      <c r="D73" s="259">
        <v>4726.5</v>
      </c>
    </row>
    <row r="74" spans="1:4" x14ac:dyDescent="0.25">
      <c r="A74" s="259" t="s">
        <v>200</v>
      </c>
      <c r="B74" s="259" t="s">
        <v>201</v>
      </c>
      <c r="C74" s="259" t="s">
        <v>1919</v>
      </c>
      <c r="D74" s="259">
        <v>545</v>
      </c>
    </row>
    <row r="75" spans="1:4" x14ac:dyDescent="0.25">
      <c r="A75" s="261" t="s">
        <v>1955</v>
      </c>
      <c r="B75" s="262" t="s">
        <v>206</v>
      </c>
      <c r="C75" s="262" t="s">
        <v>1046</v>
      </c>
      <c r="D75" s="262">
        <v>6067.5</v>
      </c>
    </row>
    <row r="76" spans="1:4" x14ac:dyDescent="0.25">
      <c r="A76" s="261" t="s">
        <v>1956</v>
      </c>
      <c r="B76" s="262" t="s">
        <v>208</v>
      </c>
      <c r="C76" s="262" t="s">
        <v>1050</v>
      </c>
      <c r="D76" s="262">
        <v>8435</v>
      </c>
    </row>
    <row r="77" spans="1:4" x14ac:dyDescent="0.25">
      <c r="A77" s="261" t="s">
        <v>1957</v>
      </c>
      <c r="B77" s="262" t="s">
        <v>210</v>
      </c>
      <c r="C77" s="262" t="s">
        <v>1044</v>
      </c>
      <c r="D77" s="262">
        <v>10322</v>
      </c>
    </row>
    <row r="78" spans="1:4" x14ac:dyDescent="0.25">
      <c r="A78" s="263" t="s">
        <v>1958</v>
      </c>
      <c r="B78" s="264" t="s">
        <v>220</v>
      </c>
      <c r="C78" s="264" t="s">
        <v>1303</v>
      </c>
      <c r="D78" s="264">
        <v>2361.5</v>
      </c>
    </row>
    <row r="79" spans="1:4" x14ac:dyDescent="0.25">
      <c r="A79" s="264" t="s">
        <v>221</v>
      </c>
      <c r="B79" s="264" t="s">
        <v>222</v>
      </c>
      <c r="C79" s="264" t="s">
        <v>1309</v>
      </c>
      <c r="D79" s="264">
        <v>5829.5</v>
      </c>
    </row>
    <row r="80" spans="1:4" x14ac:dyDescent="0.25">
      <c r="A80" s="264" t="s">
        <v>223</v>
      </c>
      <c r="B80" s="264" t="s">
        <v>224</v>
      </c>
      <c r="C80" s="264" t="s">
        <v>1341</v>
      </c>
      <c r="D80" s="264">
        <v>350</v>
      </c>
    </row>
    <row r="81" spans="1:10" x14ac:dyDescent="0.25">
      <c r="A81" s="264" t="s">
        <v>225</v>
      </c>
      <c r="B81" s="264" t="s">
        <v>226</v>
      </c>
      <c r="C81" s="264" t="s">
        <v>1311</v>
      </c>
      <c r="D81" s="264">
        <v>13021.5</v>
      </c>
      <c r="G81" s="244"/>
      <c r="H81" s="244"/>
      <c r="I81" s="244"/>
      <c r="J81" s="244"/>
    </row>
    <row r="82" spans="1:10" x14ac:dyDescent="0.25">
      <c r="A82" s="264" t="s">
        <v>227</v>
      </c>
      <c r="B82" s="264" t="s">
        <v>228</v>
      </c>
      <c r="C82" s="264" t="s">
        <v>1317</v>
      </c>
      <c r="D82" s="264">
        <v>14843</v>
      </c>
    </row>
    <row r="83" spans="1:10" x14ac:dyDescent="0.25">
      <c r="A83" s="264" t="s">
        <v>229</v>
      </c>
      <c r="B83" s="264" t="s">
        <v>230</v>
      </c>
      <c r="C83" s="264" t="s">
        <v>1319</v>
      </c>
      <c r="D83" s="264">
        <v>71369</v>
      </c>
    </row>
    <row r="84" spans="1:10" x14ac:dyDescent="0.25">
      <c r="A84" s="264" t="s">
        <v>231</v>
      </c>
      <c r="B84" s="264" t="s">
        <v>232</v>
      </c>
      <c r="C84" s="264" t="s">
        <v>1321</v>
      </c>
      <c r="D84" s="264">
        <v>18139.5</v>
      </c>
    </row>
    <row r="85" spans="1:10" x14ac:dyDescent="0.25">
      <c r="A85" s="264" t="s">
        <v>233</v>
      </c>
      <c r="B85" s="264" t="s">
        <v>234</v>
      </c>
      <c r="C85" s="264" t="s">
        <v>1323</v>
      </c>
      <c r="D85" s="264">
        <v>21676.5</v>
      </c>
    </row>
    <row r="86" spans="1:10" x14ac:dyDescent="0.25">
      <c r="A86" s="264" t="s">
        <v>235</v>
      </c>
      <c r="B86" s="264" t="s">
        <v>236</v>
      </c>
      <c r="C86" s="264" t="s">
        <v>1327</v>
      </c>
      <c r="D86" s="264">
        <v>24607</v>
      </c>
    </row>
    <row r="87" spans="1:10" x14ac:dyDescent="0.25">
      <c r="A87" s="264" t="s">
        <v>237</v>
      </c>
      <c r="B87" s="264" t="s">
        <v>238</v>
      </c>
      <c r="C87" s="264" t="s">
        <v>1329</v>
      </c>
      <c r="D87" s="264">
        <v>27122</v>
      </c>
    </row>
    <row r="88" spans="1:10" x14ac:dyDescent="0.25">
      <c r="A88" s="264" t="s">
        <v>239</v>
      </c>
      <c r="B88" s="264" t="s">
        <v>240</v>
      </c>
      <c r="C88" s="264" t="s">
        <v>1331</v>
      </c>
      <c r="D88" s="264">
        <v>36203</v>
      </c>
    </row>
    <row r="89" spans="1:10" x14ac:dyDescent="0.25">
      <c r="A89" s="264" t="s">
        <v>241</v>
      </c>
      <c r="B89" s="264" t="s">
        <v>242</v>
      </c>
      <c r="C89" s="264" t="s">
        <v>1920</v>
      </c>
      <c r="D89" s="264">
        <v>675</v>
      </c>
    </row>
    <row r="90" spans="1:10" x14ac:dyDescent="0.25">
      <c r="A90" s="264" t="s">
        <v>244</v>
      </c>
      <c r="B90" s="264" t="s">
        <v>245</v>
      </c>
      <c r="C90" s="264" t="s">
        <v>1921</v>
      </c>
      <c r="D90" s="264">
        <v>2116</v>
      </c>
    </row>
    <row r="91" spans="1:10" x14ac:dyDescent="0.25">
      <c r="A91" s="264" t="s">
        <v>246</v>
      </c>
      <c r="B91" s="264" t="s">
        <v>247</v>
      </c>
      <c r="C91" s="264" t="s">
        <v>1880</v>
      </c>
      <c r="D91" s="264">
        <v>982.5</v>
      </c>
    </row>
    <row r="92" spans="1:10" x14ac:dyDescent="0.25">
      <c r="A92" s="265" t="s">
        <v>266</v>
      </c>
      <c r="B92" s="265" t="s">
        <v>267</v>
      </c>
      <c r="C92" s="265" t="s">
        <v>1768</v>
      </c>
      <c r="D92" s="265">
        <v>36.5</v>
      </c>
    </row>
    <row r="93" spans="1:10" x14ac:dyDescent="0.25">
      <c r="A93" s="265" t="s">
        <v>268</v>
      </c>
      <c r="B93" s="265" t="s">
        <v>269</v>
      </c>
      <c r="C93" s="265" t="s">
        <v>1771</v>
      </c>
      <c r="D93" s="265">
        <v>36.5</v>
      </c>
    </row>
    <row r="94" spans="1:10" x14ac:dyDescent="0.25">
      <c r="A94" s="265" t="s">
        <v>270</v>
      </c>
      <c r="B94" s="265" t="s">
        <v>271</v>
      </c>
      <c r="C94" s="265" t="s">
        <v>1766</v>
      </c>
      <c r="D94" s="265">
        <v>36.5</v>
      </c>
    </row>
    <row r="95" spans="1:10" x14ac:dyDescent="0.25">
      <c r="A95" s="265" t="s">
        <v>272</v>
      </c>
      <c r="B95" s="265" t="s">
        <v>273</v>
      </c>
      <c r="C95" s="265" t="s">
        <v>1852</v>
      </c>
      <c r="D95" s="265">
        <v>208.5</v>
      </c>
    </row>
    <row r="96" spans="1:10" x14ac:dyDescent="0.25">
      <c r="A96" s="265" t="s">
        <v>274</v>
      </c>
      <c r="B96" s="265" t="s">
        <v>275</v>
      </c>
      <c r="C96" s="265" t="s">
        <v>1810</v>
      </c>
      <c r="D96" s="265">
        <v>594.5</v>
      </c>
    </row>
    <row r="97" spans="1:4" x14ac:dyDescent="0.25">
      <c r="A97" s="265" t="s">
        <v>276</v>
      </c>
      <c r="B97" s="265" t="s">
        <v>277</v>
      </c>
      <c r="C97" s="265" t="s">
        <v>1829</v>
      </c>
      <c r="D97" s="265">
        <v>545.5</v>
      </c>
    </row>
    <row r="98" spans="1:4" x14ac:dyDescent="0.25">
      <c r="A98" s="265" t="s">
        <v>278</v>
      </c>
      <c r="B98" s="265" t="s">
        <v>279</v>
      </c>
      <c r="C98" s="265" t="s">
        <v>1670</v>
      </c>
      <c r="D98" s="265">
        <v>357</v>
      </c>
    </row>
    <row r="99" spans="1:4" x14ac:dyDescent="0.25">
      <c r="A99" s="265" t="s">
        <v>280</v>
      </c>
      <c r="B99" s="265" t="s">
        <v>281</v>
      </c>
      <c r="C99" s="265" t="s">
        <v>1663</v>
      </c>
      <c r="D99" s="265">
        <v>121.5</v>
      </c>
    </row>
    <row r="100" spans="1:4" x14ac:dyDescent="0.25">
      <c r="A100" s="265" t="s">
        <v>282</v>
      </c>
      <c r="B100" s="265" t="s">
        <v>283</v>
      </c>
      <c r="C100" s="265" t="s">
        <v>1672</v>
      </c>
      <c r="D100" s="265">
        <v>181.5</v>
      </c>
    </row>
    <row r="101" spans="1:4" x14ac:dyDescent="0.25">
      <c r="A101" s="265" t="s">
        <v>284</v>
      </c>
      <c r="B101" s="265" t="s">
        <v>285</v>
      </c>
      <c r="C101" s="265" t="s">
        <v>1658</v>
      </c>
      <c r="D101" s="265">
        <v>100</v>
      </c>
    </row>
    <row r="102" spans="1:4" x14ac:dyDescent="0.25">
      <c r="A102" s="265" t="s">
        <v>286</v>
      </c>
      <c r="B102" s="265" t="s">
        <v>287</v>
      </c>
      <c r="C102" s="265" t="s">
        <v>1846</v>
      </c>
      <c r="D102" s="265">
        <v>475</v>
      </c>
    </row>
    <row r="103" spans="1:4" x14ac:dyDescent="0.25">
      <c r="A103" s="265" t="s">
        <v>288</v>
      </c>
      <c r="B103" s="265" t="s">
        <v>289</v>
      </c>
      <c r="C103" s="265" t="s">
        <v>1900</v>
      </c>
      <c r="D103" s="265">
        <v>23</v>
      </c>
    </row>
    <row r="104" spans="1:4" x14ac:dyDescent="0.25">
      <c r="A104" s="265" t="s">
        <v>290</v>
      </c>
      <c r="B104" s="265" t="s">
        <v>291</v>
      </c>
      <c r="C104" s="265" t="s">
        <v>1854</v>
      </c>
      <c r="D104" s="265">
        <v>12.5</v>
      </c>
    </row>
    <row r="105" spans="1:4" x14ac:dyDescent="0.25">
      <c r="A105" s="265" t="s">
        <v>292</v>
      </c>
      <c r="B105" s="265" t="s">
        <v>293</v>
      </c>
      <c r="C105" s="265" t="s">
        <v>1011</v>
      </c>
      <c r="D105" s="265">
        <v>6105</v>
      </c>
    </row>
    <row r="106" spans="1:4" x14ac:dyDescent="0.25">
      <c r="A106" s="265" t="s">
        <v>294</v>
      </c>
      <c r="B106" s="265" t="s">
        <v>295</v>
      </c>
      <c r="C106" s="265" t="s">
        <v>1668</v>
      </c>
      <c r="D106" s="265">
        <v>285.5</v>
      </c>
    </row>
    <row r="107" spans="1:4" x14ac:dyDescent="0.25">
      <c r="A107" s="265" t="s">
        <v>296</v>
      </c>
      <c r="B107" s="265" t="s">
        <v>297</v>
      </c>
      <c r="C107" s="265" t="s">
        <v>1631</v>
      </c>
      <c r="D107" s="265">
        <v>29.5</v>
      </c>
    </row>
    <row r="108" spans="1:4" x14ac:dyDescent="0.25">
      <c r="A108" s="265" t="s">
        <v>298</v>
      </c>
      <c r="B108" s="265" t="s">
        <v>299</v>
      </c>
      <c r="C108" s="265" t="s">
        <v>1623</v>
      </c>
      <c r="D108" s="265">
        <v>826.5</v>
      </c>
    </row>
    <row r="109" spans="1:4" x14ac:dyDescent="0.25">
      <c r="A109" s="265" t="s">
        <v>300</v>
      </c>
      <c r="B109" s="265" t="s">
        <v>301</v>
      </c>
      <c r="C109" s="265" t="s">
        <v>1609</v>
      </c>
      <c r="D109" s="265">
        <v>1768.5</v>
      </c>
    </row>
    <row r="110" spans="1:4" x14ac:dyDescent="0.25">
      <c r="A110" s="265" t="s">
        <v>302</v>
      </c>
      <c r="B110" s="265" t="s">
        <v>303</v>
      </c>
      <c r="C110" s="265" t="s">
        <v>1722</v>
      </c>
      <c r="D110" s="265">
        <v>7.5</v>
      </c>
    </row>
    <row r="111" spans="1:4" x14ac:dyDescent="0.25">
      <c r="A111" s="265" t="s">
        <v>304</v>
      </c>
      <c r="B111" s="265" t="s">
        <v>305</v>
      </c>
      <c r="C111" s="265" t="s">
        <v>1545</v>
      </c>
      <c r="D111" s="265">
        <v>618.5</v>
      </c>
    </row>
    <row r="112" spans="1:4" x14ac:dyDescent="0.25">
      <c r="A112" s="265" t="s">
        <v>306</v>
      </c>
      <c r="B112" s="265" t="s">
        <v>307</v>
      </c>
      <c r="C112" s="265" t="s">
        <v>1878</v>
      </c>
      <c r="D112" s="265">
        <v>7.5</v>
      </c>
    </row>
    <row r="113" spans="1:4" x14ac:dyDescent="0.25">
      <c r="A113" s="265" t="s">
        <v>212</v>
      </c>
      <c r="B113" s="265" t="s">
        <v>213</v>
      </c>
      <c r="C113" s="265" t="s">
        <v>1856</v>
      </c>
      <c r="D113" s="265">
        <v>953.5</v>
      </c>
    </row>
    <row r="114" spans="1:4" x14ac:dyDescent="0.25">
      <c r="A114" s="265" t="s">
        <v>214</v>
      </c>
      <c r="B114" s="265" t="s">
        <v>215</v>
      </c>
      <c r="C114" s="265" t="s">
        <v>1861</v>
      </c>
      <c r="D114" s="265">
        <v>1791.5</v>
      </c>
    </row>
    <row r="115" spans="1:4" x14ac:dyDescent="0.25">
      <c r="A115" s="265" t="s">
        <v>216</v>
      </c>
      <c r="B115" s="265" t="s">
        <v>217</v>
      </c>
      <c r="C115" s="265" t="s">
        <v>1863</v>
      </c>
      <c r="D115" s="265">
        <v>2554.5</v>
      </c>
    </row>
    <row r="116" spans="1:4" x14ac:dyDescent="0.25">
      <c r="A116" s="266" t="s">
        <v>249</v>
      </c>
      <c r="B116" s="266" t="s">
        <v>250</v>
      </c>
      <c r="C116" s="266" t="s">
        <v>1910</v>
      </c>
      <c r="D116" s="266">
        <v>115.5</v>
      </c>
    </row>
    <row r="117" spans="1:4" x14ac:dyDescent="0.25">
      <c r="A117" s="266" t="s">
        <v>251</v>
      </c>
      <c r="B117" s="266" t="s">
        <v>252</v>
      </c>
      <c r="C117" s="266" t="s">
        <v>1912</v>
      </c>
      <c r="D117" s="266">
        <v>115.5</v>
      </c>
    </row>
    <row r="118" spans="1:4" x14ac:dyDescent="0.25">
      <c r="A118" s="266" t="s">
        <v>253</v>
      </c>
      <c r="B118" s="266" t="s">
        <v>254</v>
      </c>
      <c r="C118" s="266" t="s">
        <v>1922</v>
      </c>
      <c r="D118" s="266">
        <v>115.5</v>
      </c>
    </row>
    <row r="119" spans="1:4" x14ac:dyDescent="0.25">
      <c r="A119" s="266" t="s">
        <v>255</v>
      </c>
      <c r="B119" s="266" t="s">
        <v>256</v>
      </c>
      <c r="C119" s="266" t="s">
        <v>1923</v>
      </c>
      <c r="D119" s="266">
        <v>62.5</v>
      </c>
    </row>
    <row r="120" spans="1:4" x14ac:dyDescent="0.25">
      <c r="A120" s="266" t="s">
        <v>257</v>
      </c>
      <c r="B120" s="266" t="s">
        <v>258</v>
      </c>
      <c r="C120" s="266" t="s">
        <v>1907</v>
      </c>
      <c r="D120" s="266">
        <v>62.5</v>
      </c>
    </row>
    <row r="121" spans="1:4" x14ac:dyDescent="0.25">
      <c r="A121" s="266" t="s">
        <v>259</v>
      </c>
      <c r="B121" s="266" t="s">
        <v>260</v>
      </c>
      <c r="C121" s="266" t="s">
        <v>1914</v>
      </c>
      <c r="D121" s="266">
        <v>167</v>
      </c>
    </row>
    <row r="122" spans="1:4" x14ac:dyDescent="0.25">
      <c r="A122" s="266" t="s">
        <v>261</v>
      </c>
      <c r="B122" s="266" t="s">
        <v>262</v>
      </c>
      <c r="C122" s="266" t="s">
        <v>1925</v>
      </c>
      <c r="D122" s="266">
        <v>62.5</v>
      </c>
    </row>
    <row r="123" spans="1:4" x14ac:dyDescent="0.25">
      <c r="A123" s="266" t="s">
        <v>263</v>
      </c>
      <c r="B123" s="266" t="s">
        <v>264</v>
      </c>
      <c r="C123" s="266" t="s">
        <v>1924</v>
      </c>
      <c r="D123" s="266">
        <v>62.5</v>
      </c>
    </row>
    <row r="124" spans="1:4" x14ac:dyDescent="0.25">
      <c r="A124" s="267" t="s">
        <v>309</v>
      </c>
      <c r="B124" s="267" t="s">
        <v>310</v>
      </c>
      <c r="C124" s="267" t="s">
        <v>834</v>
      </c>
      <c r="D124" s="267">
        <v>6132.5</v>
      </c>
    </row>
    <row r="125" spans="1:4" x14ac:dyDescent="0.25">
      <c r="A125" s="267" t="s">
        <v>311</v>
      </c>
      <c r="B125" s="267" t="s">
        <v>312</v>
      </c>
      <c r="C125" s="267" t="s">
        <v>843</v>
      </c>
      <c r="D125" s="267">
        <v>6132.5</v>
      </c>
    </row>
    <row r="126" spans="1:4" x14ac:dyDescent="0.25">
      <c r="A126" s="268" t="s">
        <v>143</v>
      </c>
      <c r="B126" s="268" t="s">
        <v>144</v>
      </c>
      <c r="C126" s="268" t="s">
        <v>1929</v>
      </c>
      <c r="D126" s="268">
        <v>62.5</v>
      </c>
    </row>
    <row r="127" spans="1:4" x14ac:dyDescent="0.25">
      <c r="A127" s="268" t="s">
        <v>320</v>
      </c>
      <c r="B127" s="268" t="s">
        <v>321</v>
      </c>
      <c r="C127" s="269" t="s">
        <v>1313</v>
      </c>
      <c r="D127" s="268">
        <v>30712</v>
      </c>
    </row>
    <row r="128" spans="1:4" x14ac:dyDescent="0.25">
      <c r="A128" s="268" t="s">
        <v>322</v>
      </c>
      <c r="B128" s="268" t="s">
        <v>323</v>
      </c>
      <c r="C128" s="268" t="s">
        <v>1313</v>
      </c>
      <c r="D128" s="268">
        <v>30702.5</v>
      </c>
    </row>
    <row r="129" spans="1:4" x14ac:dyDescent="0.25">
      <c r="A129" s="268" t="s">
        <v>324</v>
      </c>
      <c r="B129" s="268" t="s">
        <v>325</v>
      </c>
      <c r="C129" s="269" t="s">
        <v>1938</v>
      </c>
      <c r="D129" s="268">
        <v>30741</v>
      </c>
    </row>
    <row r="130" spans="1:4" x14ac:dyDescent="0.25">
      <c r="A130" s="268" t="s">
        <v>326</v>
      </c>
      <c r="B130" s="268" t="s">
        <v>327</v>
      </c>
      <c r="C130" s="270" t="s">
        <v>1939</v>
      </c>
      <c r="D130" s="268">
        <v>30731.5</v>
      </c>
    </row>
    <row r="131" spans="1:4" x14ac:dyDescent="0.25">
      <c r="A131" s="268" t="s">
        <v>328</v>
      </c>
      <c r="B131" s="268" t="s">
        <v>329</v>
      </c>
      <c r="C131" s="270" t="s">
        <v>1954</v>
      </c>
      <c r="D131" s="268">
        <v>31998.5</v>
      </c>
    </row>
    <row r="132" spans="1:4" x14ac:dyDescent="0.25">
      <c r="A132" s="268" t="s">
        <v>330</v>
      </c>
      <c r="B132" s="268" t="s">
        <v>331</v>
      </c>
      <c r="C132" s="270" t="s">
        <v>1953</v>
      </c>
      <c r="D132" s="268">
        <v>31989</v>
      </c>
    </row>
    <row r="133" spans="1:4" x14ac:dyDescent="0.25">
      <c r="A133" s="268" t="s">
        <v>332</v>
      </c>
      <c r="B133" s="268" t="s">
        <v>333</v>
      </c>
      <c r="C133" s="270" t="s">
        <v>1942</v>
      </c>
      <c r="D133" s="268">
        <v>31979</v>
      </c>
    </row>
    <row r="134" spans="1:4" x14ac:dyDescent="0.25">
      <c r="A134" s="268" t="s">
        <v>334</v>
      </c>
      <c r="B134" s="268" t="s">
        <v>335</v>
      </c>
      <c r="C134" s="270" t="s">
        <v>1943</v>
      </c>
      <c r="D134" s="268">
        <v>31969.5</v>
      </c>
    </row>
    <row r="135" spans="1:4" x14ac:dyDescent="0.25">
      <c r="A135" s="268" t="s">
        <v>1952</v>
      </c>
      <c r="B135" s="271" t="s">
        <v>412</v>
      </c>
      <c r="C135" s="271" t="s">
        <v>1250</v>
      </c>
      <c r="D135" s="268">
        <v>5593</v>
      </c>
    </row>
    <row r="136" spans="1:4" x14ac:dyDescent="0.25">
      <c r="A136" s="272" t="s">
        <v>1932</v>
      </c>
      <c r="B136" s="268" t="s">
        <v>579</v>
      </c>
      <c r="C136" s="269" t="s">
        <v>1946</v>
      </c>
      <c r="D136" s="268">
        <v>1.5</v>
      </c>
    </row>
    <row r="137" spans="1:4" x14ac:dyDescent="0.25">
      <c r="A137" s="268" t="s">
        <v>1933</v>
      </c>
      <c r="B137" s="268" t="s">
        <v>1935</v>
      </c>
      <c r="C137" s="269" t="s">
        <v>1944</v>
      </c>
      <c r="D137" s="268">
        <v>1.5</v>
      </c>
    </row>
    <row r="138" spans="1:4" x14ac:dyDescent="0.25">
      <c r="A138" s="268" t="s">
        <v>1934</v>
      </c>
      <c r="B138" s="268" t="s">
        <v>1937</v>
      </c>
      <c r="C138" s="269" t="s">
        <v>1950</v>
      </c>
      <c r="D138" s="268">
        <v>214</v>
      </c>
    </row>
    <row r="139" spans="1:4" x14ac:dyDescent="0.25">
      <c r="A139" s="268" t="s">
        <v>1931</v>
      </c>
      <c r="B139" s="268" t="s">
        <v>1936</v>
      </c>
      <c r="C139" s="269" t="s">
        <v>1945</v>
      </c>
      <c r="D139" s="268">
        <v>21.5</v>
      </c>
    </row>
    <row r="140" spans="1:4" x14ac:dyDescent="0.25">
      <c r="A140" s="268" t="s">
        <v>1285</v>
      </c>
      <c r="B140" s="268" t="s">
        <v>1297</v>
      </c>
      <c r="C140" s="268" t="s">
        <v>1284</v>
      </c>
      <c r="D140" s="268">
        <v>31661</v>
      </c>
    </row>
    <row r="141" spans="1:4" x14ac:dyDescent="0.25">
      <c r="A141" s="268" t="s">
        <v>1300</v>
      </c>
      <c r="B141" s="268" t="s">
        <v>1297</v>
      </c>
      <c r="C141" s="268" t="s">
        <v>1299</v>
      </c>
      <c r="D141" s="268">
        <v>37215</v>
      </c>
    </row>
    <row r="142" spans="1:4" x14ac:dyDescent="0.25">
      <c r="A142" s="268" t="s">
        <v>1289</v>
      </c>
      <c r="B142" s="268" t="s">
        <v>1297</v>
      </c>
      <c r="C142" s="268" t="s">
        <v>1288</v>
      </c>
      <c r="D142" s="268">
        <v>45876</v>
      </c>
    </row>
    <row r="143" spans="1:4" x14ac:dyDescent="0.25">
      <c r="A143" s="268" t="s">
        <v>1292</v>
      </c>
      <c r="B143" s="273" t="s">
        <v>1291</v>
      </c>
      <c r="C143" s="268" t="s">
        <v>1290</v>
      </c>
      <c r="D143" s="268">
        <v>37506</v>
      </c>
    </row>
    <row r="144" spans="1:4" x14ac:dyDescent="0.25">
      <c r="A144" s="268" t="s">
        <v>1296</v>
      </c>
      <c r="B144" s="268" t="s">
        <v>1297</v>
      </c>
      <c r="C144" s="273" t="s">
        <v>1295</v>
      </c>
      <c r="D144" s="268">
        <v>54413</v>
      </c>
    </row>
    <row r="145" spans="1:4" x14ac:dyDescent="0.25">
      <c r="A145" s="268" t="s">
        <v>1298</v>
      </c>
      <c r="B145" s="268" t="s">
        <v>1297</v>
      </c>
      <c r="C145" s="273" t="s">
        <v>1297</v>
      </c>
      <c r="D145" s="268">
        <v>59433</v>
      </c>
    </row>
    <row r="146" spans="1:4" x14ac:dyDescent="0.25">
      <c r="A146" s="275" t="s">
        <v>1959</v>
      </c>
      <c r="B146" s="275" t="s">
        <v>1960</v>
      </c>
      <c r="C146" s="276" t="s">
        <v>1961</v>
      </c>
      <c r="D146" s="274">
        <v>19369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5ECC-B932-4495-93F5-07D994FE798A}">
  <dimension ref="A1:J146"/>
  <sheetViews>
    <sheetView topLeftCell="A112" zoomScaleNormal="100" workbookViewId="0">
      <selection activeCell="A68" sqref="A68:D68"/>
    </sheetView>
  </sheetViews>
  <sheetFormatPr defaultRowHeight="15" x14ac:dyDescent="0.25"/>
  <cols>
    <col min="1" max="1" width="68" bestFit="1" customWidth="1"/>
    <col min="2" max="2" width="18.28515625" bestFit="1" customWidth="1"/>
    <col min="3" max="3" width="20.28515625" bestFit="1" customWidth="1"/>
    <col min="4" max="4" width="8" bestFit="1" customWidth="1"/>
  </cols>
  <sheetData>
    <row r="1" spans="1:4" x14ac:dyDescent="0.25">
      <c r="A1" s="251" t="s">
        <v>17</v>
      </c>
      <c r="B1" s="251" t="s">
        <v>18</v>
      </c>
      <c r="C1" s="251" t="s">
        <v>702</v>
      </c>
      <c r="D1" s="251">
        <v>3181</v>
      </c>
    </row>
    <row r="2" spans="1:4" x14ac:dyDescent="0.25">
      <c r="A2" s="251" t="s">
        <v>19</v>
      </c>
      <c r="B2" s="251" t="s">
        <v>20</v>
      </c>
      <c r="C2" s="251" t="s">
        <v>709</v>
      </c>
      <c r="D2" s="251">
        <v>3061.5</v>
      </c>
    </row>
    <row r="3" spans="1:4" x14ac:dyDescent="0.25">
      <c r="A3" s="251" t="s">
        <v>22</v>
      </c>
      <c r="B3" s="251" t="s">
        <v>23</v>
      </c>
      <c r="C3" s="251" t="s">
        <v>744</v>
      </c>
      <c r="D3" s="251">
        <v>3550</v>
      </c>
    </row>
    <row r="4" spans="1:4" x14ac:dyDescent="0.25">
      <c r="A4" s="251" t="s">
        <v>24</v>
      </c>
      <c r="B4" s="251" t="s">
        <v>25</v>
      </c>
      <c r="C4" s="251" t="s">
        <v>732</v>
      </c>
      <c r="D4" s="251">
        <v>3180</v>
      </c>
    </row>
    <row r="5" spans="1:4" x14ac:dyDescent="0.25">
      <c r="A5" s="251" t="s">
        <v>27</v>
      </c>
      <c r="B5" s="251" t="s">
        <v>28</v>
      </c>
      <c r="C5" s="251" t="s">
        <v>752</v>
      </c>
      <c r="D5" s="251">
        <v>1419.5</v>
      </c>
    </row>
    <row r="6" spans="1:4" x14ac:dyDescent="0.25">
      <c r="A6" s="251" t="s">
        <v>29</v>
      </c>
      <c r="B6" s="251" t="s">
        <v>30</v>
      </c>
      <c r="C6" s="251" t="s">
        <v>756</v>
      </c>
      <c r="D6" s="251">
        <v>1345</v>
      </c>
    </row>
    <row r="7" spans="1:4" x14ac:dyDescent="0.25">
      <c r="A7" s="251" t="s">
        <v>31</v>
      </c>
      <c r="B7" s="251" t="s">
        <v>32</v>
      </c>
      <c r="C7" s="251" t="s">
        <v>749</v>
      </c>
      <c r="D7" s="251">
        <v>1419.5</v>
      </c>
    </row>
    <row r="8" spans="1:4" x14ac:dyDescent="0.25">
      <c r="A8" s="251" t="s">
        <v>33</v>
      </c>
      <c r="B8" s="251" t="s">
        <v>34</v>
      </c>
      <c r="C8" s="251" t="s">
        <v>754</v>
      </c>
      <c r="D8" s="251">
        <v>1345</v>
      </c>
    </row>
    <row r="9" spans="1:4" x14ac:dyDescent="0.25">
      <c r="A9" s="251" t="s">
        <v>36</v>
      </c>
      <c r="B9" s="251" t="s">
        <v>37</v>
      </c>
      <c r="C9" s="251" t="s">
        <v>784</v>
      </c>
      <c r="D9" s="251">
        <v>1345</v>
      </c>
    </row>
    <row r="10" spans="1:4" x14ac:dyDescent="0.25">
      <c r="A10" s="251" t="s">
        <v>38</v>
      </c>
      <c r="B10" s="251" t="s">
        <v>39</v>
      </c>
      <c r="C10" s="251" t="s">
        <v>793</v>
      </c>
      <c r="D10" s="251">
        <v>2497.5</v>
      </c>
    </row>
    <row r="11" spans="1:4" x14ac:dyDescent="0.25">
      <c r="A11" s="251" t="s">
        <v>40</v>
      </c>
      <c r="B11" s="251" t="s">
        <v>41</v>
      </c>
      <c r="C11" s="251" t="s">
        <v>758</v>
      </c>
      <c r="D11" s="251">
        <v>1419.5</v>
      </c>
    </row>
    <row r="12" spans="1:4" x14ac:dyDescent="0.25">
      <c r="A12" s="251" t="s">
        <v>42</v>
      </c>
      <c r="B12" s="251" t="s">
        <v>43</v>
      </c>
      <c r="C12" s="252" t="s">
        <v>763</v>
      </c>
      <c r="D12" s="251">
        <v>1873.5</v>
      </c>
    </row>
    <row r="13" spans="1:4" x14ac:dyDescent="0.25">
      <c r="A13" s="251" t="s">
        <v>45</v>
      </c>
      <c r="B13" s="251" t="s">
        <v>46</v>
      </c>
      <c r="C13" s="251" t="s">
        <v>765</v>
      </c>
      <c r="D13" s="251">
        <v>3181</v>
      </c>
    </row>
    <row r="14" spans="1:4" x14ac:dyDescent="0.25">
      <c r="A14" s="251" t="s">
        <v>47</v>
      </c>
      <c r="B14" s="251" t="s">
        <v>48</v>
      </c>
      <c r="C14" s="251" t="s">
        <v>768</v>
      </c>
      <c r="D14" s="251">
        <v>1419.5</v>
      </c>
    </row>
    <row r="15" spans="1:4" x14ac:dyDescent="0.25">
      <c r="A15" s="251" t="s">
        <v>52</v>
      </c>
      <c r="B15" s="251" t="s">
        <v>53</v>
      </c>
      <c r="C15" s="251" t="s">
        <v>822</v>
      </c>
      <c r="D15" s="251">
        <v>2467.5</v>
      </c>
    </row>
    <row r="16" spans="1:4" x14ac:dyDescent="0.25">
      <c r="A16" s="253" t="s">
        <v>55</v>
      </c>
      <c r="B16" s="254" t="s">
        <v>56</v>
      </c>
      <c r="C16" s="254" t="s">
        <v>801</v>
      </c>
      <c r="D16" s="254">
        <v>1395.5</v>
      </c>
    </row>
    <row r="17" spans="1:4" x14ac:dyDescent="0.25">
      <c r="A17" s="253" t="s">
        <v>57</v>
      </c>
      <c r="B17" s="253" t="s">
        <v>58</v>
      </c>
      <c r="C17" s="255" t="s">
        <v>812</v>
      </c>
      <c r="D17" s="253">
        <v>1658</v>
      </c>
    </row>
    <row r="18" spans="1:4" x14ac:dyDescent="0.25">
      <c r="A18" s="254" t="s">
        <v>59</v>
      </c>
      <c r="B18" s="254" t="s">
        <v>60</v>
      </c>
      <c r="C18" s="254" t="s">
        <v>804</v>
      </c>
      <c r="D18" s="254">
        <v>1395.5</v>
      </c>
    </row>
    <row r="19" spans="1:4" x14ac:dyDescent="0.25">
      <c r="A19" s="254" t="s">
        <v>61</v>
      </c>
      <c r="B19" s="254" t="s">
        <v>62</v>
      </c>
      <c r="C19" s="254" t="s">
        <v>814</v>
      </c>
      <c r="D19" s="254">
        <v>1658</v>
      </c>
    </row>
    <row r="20" spans="1:4" x14ac:dyDescent="0.25">
      <c r="A20" s="254" t="s">
        <v>63</v>
      </c>
      <c r="B20" s="254" t="s">
        <v>64</v>
      </c>
      <c r="C20" s="254" t="s">
        <v>806</v>
      </c>
      <c r="D20" s="254">
        <v>1395.5</v>
      </c>
    </row>
    <row r="21" spans="1:4" x14ac:dyDescent="0.25">
      <c r="A21" s="254" t="s">
        <v>65</v>
      </c>
      <c r="B21" s="254" t="s">
        <v>66</v>
      </c>
      <c r="C21" s="254" t="s">
        <v>816</v>
      </c>
      <c r="D21" s="254">
        <v>1658</v>
      </c>
    </row>
    <row r="22" spans="1:4" x14ac:dyDescent="0.25">
      <c r="A22" s="254" t="s">
        <v>67</v>
      </c>
      <c r="B22" s="254" t="s">
        <v>68</v>
      </c>
      <c r="C22" s="254" t="s">
        <v>810</v>
      </c>
      <c r="D22" s="254">
        <v>1395.5</v>
      </c>
    </row>
    <row r="23" spans="1:4" x14ac:dyDescent="0.25">
      <c r="A23" s="254" t="s">
        <v>69</v>
      </c>
      <c r="B23" s="254" t="s">
        <v>70</v>
      </c>
      <c r="C23" s="254" t="s">
        <v>820</v>
      </c>
      <c r="D23" s="254">
        <v>1658</v>
      </c>
    </row>
    <row r="24" spans="1:4" x14ac:dyDescent="0.25">
      <c r="A24" s="254" t="s">
        <v>71</v>
      </c>
      <c r="B24" s="254" t="s">
        <v>72</v>
      </c>
      <c r="C24" s="254" t="s">
        <v>808</v>
      </c>
      <c r="D24" s="254">
        <v>1395.5</v>
      </c>
    </row>
    <row r="25" spans="1:4" x14ac:dyDescent="0.25">
      <c r="A25" s="254" t="s">
        <v>73</v>
      </c>
      <c r="B25" s="254" t="s">
        <v>74</v>
      </c>
      <c r="C25" s="254" t="s">
        <v>818</v>
      </c>
      <c r="D25" s="254">
        <v>1658</v>
      </c>
    </row>
    <row r="26" spans="1:4" x14ac:dyDescent="0.25">
      <c r="A26" s="254" t="s">
        <v>75</v>
      </c>
      <c r="B26" s="254" t="s">
        <v>76</v>
      </c>
      <c r="C26" s="254" t="s">
        <v>1870</v>
      </c>
      <c r="D26" s="254">
        <v>1395.5</v>
      </c>
    </row>
    <row r="27" spans="1:4" x14ac:dyDescent="0.25">
      <c r="A27" s="254" t="s">
        <v>77</v>
      </c>
      <c r="B27" s="254" t="s">
        <v>78</v>
      </c>
      <c r="C27" s="254" t="s">
        <v>1876</v>
      </c>
      <c r="D27" s="254">
        <v>1658</v>
      </c>
    </row>
    <row r="28" spans="1:4" x14ac:dyDescent="0.25">
      <c r="A28" s="254" t="s">
        <v>79</v>
      </c>
      <c r="B28" s="254" t="s">
        <v>80</v>
      </c>
      <c r="C28" s="254" t="s">
        <v>1865</v>
      </c>
      <c r="D28" s="254">
        <v>1395.5</v>
      </c>
    </row>
    <row r="29" spans="1:4" x14ac:dyDescent="0.25">
      <c r="A29" s="254" t="s">
        <v>81</v>
      </c>
      <c r="B29" s="254" t="s">
        <v>82</v>
      </c>
      <c r="C29" s="254" t="s">
        <v>1872</v>
      </c>
      <c r="D29" s="254">
        <v>1658</v>
      </c>
    </row>
    <row r="30" spans="1:4" x14ac:dyDescent="0.25">
      <c r="A30" s="254" t="s">
        <v>83</v>
      </c>
      <c r="B30" s="254" t="s">
        <v>84</v>
      </c>
      <c r="C30" s="254" t="s">
        <v>1868</v>
      </c>
      <c r="D30" s="254">
        <v>1395.5</v>
      </c>
    </row>
    <row r="31" spans="1:4" x14ac:dyDescent="0.25">
      <c r="A31" s="254" t="s">
        <v>85</v>
      </c>
      <c r="B31" s="254" t="s">
        <v>86</v>
      </c>
      <c r="C31" s="254" t="s">
        <v>1874</v>
      </c>
      <c r="D31" s="254">
        <v>1658</v>
      </c>
    </row>
    <row r="32" spans="1:4" x14ac:dyDescent="0.25">
      <c r="A32" s="256" t="s">
        <v>88</v>
      </c>
      <c r="B32" s="256" t="s">
        <v>89</v>
      </c>
      <c r="C32" s="256" t="s">
        <v>1799</v>
      </c>
      <c r="D32" s="256">
        <v>26</v>
      </c>
    </row>
    <row r="33" spans="1:4" x14ac:dyDescent="0.25">
      <c r="A33" s="256" t="s">
        <v>90</v>
      </c>
      <c r="B33" s="256" t="s">
        <v>91</v>
      </c>
      <c r="C33" s="256" t="s">
        <v>1837</v>
      </c>
      <c r="D33" s="256">
        <v>423</v>
      </c>
    </row>
    <row r="34" spans="1:4" x14ac:dyDescent="0.25">
      <c r="A34" s="256" t="s">
        <v>92</v>
      </c>
      <c r="B34" s="256" t="s">
        <v>93</v>
      </c>
      <c r="C34" s="256" t="s">
        <v>1840</v>
      </c>
      <c r="D34" s="256">
        <v>636</v>
      </c>
    </row>
    <row r="35" spans="1:4" x14ac:dyDescent="0.25">
      <c r="A35" s="256" t="s">
        <v>94</v>
      </c>
      <c r="B35" s="256" t="s">
        <v>95</v>
      </c>
      <c r="C35" s="256" t="s">
        <v>1843</v>
      </c>
      <c r="D35" s="256">
        <v>739.5</v>
      </c>
    </row>
    <row r="36" spans="1:4" x14ac:dyDescent="0.25">
      <c r="A36" s="256" t="s">
        <v>96</v>
      </c>
      <c r="B36" s="256" t="s">
        <v>97</v>
      </c>
      <c r="C36" s="256" t="s">
        <v>1417</v>
      </c>
      <c r="D36" s="256">
        <v>10.5</v>
      </c>
    </row>
    <row r="37" spans="1:4" x14ac:dyDescent="0.25">
      <c r="A37" s="256" t="s">
        <v>98</v>
      </c>
      <c r="B37" s="256" t="s">
        <v>99</v>
      </c>
      <c r="C37" s="256" t="s">
        <v>730</v>
      </c>
      <c r="D37" s="256">
        <v>26</v>
      </c>
    </row>
    <row r="38" spans="1:4" x14ac:dyDescent="0.25">
      <c r="A38" s="256" t="s">
        <v>100</v>
      </c>
      <c r="B38" s="256" t="s">
        <v>101</v>
      </c>
      <c r="C38" s="256" t="s">
        <v>726</v>
      </c>
      <c r="D38" s="256">
        <v>20</v>
      </c>
    </row>
    <row r="39" spans="1:4" x14ac:dyDescent="0.25">
      <c r="A39" s="257" t="s">
        <v>105</v>
      </c>
      <c r="B39" s="257" t="s">
        <v>106</v>
      </c>
      <c r="C39" s="257" t="s">
        <v>876</v>
      </c>
      <c r="D39" s="257">
        <v>48792</v>
      </c>
    </row>
    <row r="40" spans="1:4" x14ac:dyDescent="0.25">
      <c r="A40" s="257" t="s">
        <v>107</v>
      </c>
      <c r="B40" s="257" t="s">
        <v>108</v>
      </c>
      <c r="C40" s="257" t="s">
        <v>871</v>
      </c>
      <c r="D40" s="257">
        <v>49000</v>
      </c>
    </row>
    <row r="41" spans="1:4" x14ac:dyDescent="0.25">
      <c r="A41" s="257" t="s">
        <v>110</v>
      </c>
      <c r="B41" s="257" t="s">
        <v>111</v>
      </c>
      <c r="C41" s="257" t="s">
        <v>931</v>
      </c>
      <c r="D41" s="257">
        <v>51355.5</v>
      </c>
    </row>
    <row r="42" spans="1:4" x14ac:dyDescent="0.25">
      <c r="A42" s="257" t="s">
        <v>112</v>
      </c>
      <c r="B42" s="257" t="s">
        <v>113</v>
      </c>
      <c r="C42" s="257" t="s">
        <v>925</v>
      </c>
      <c r="D42" s="257">
        <v>51362</v>
      </c>
    </row>
    <row r="43" spans="1:4" x14ac:dyDescent="0.25">
      <c r="A43" s="257" t="s">
        <v>116</v>
      </c>
      <c r="B43" s="257" t="s">
        <v>117</v>
      </c>
      <c r="C43" s="257" t="s">
        <v>878</v>
      </c>
      <c r="D43" s="257">
        <v>34337.5</v>
      </c>
    </row>
    <row r="44" spans="1:4" x14ac:dyDescent="0.25">
      <c r="A44" s="257" t="s">
        <v>118</v>
      </c>
      <c r="B44" s="257" t="s">
        <v>119</v>
      </c>
      <c r="C44" s="257" t="s">
        <v>873</v>
      </c>
      <c r="D44" s="257">
        <v>36810</v>
      </c>
    </row>
    <row r="45" spans="1:4" x14ac:dyDescent="0.25">
      <c r="A45" s="257" t="s">
        <v>120</v>
      </c>
      <c r="B45" s="257" t="s">
        <v>121</v>
      </c>
      <c r="C45" s="257" t="s">
        <v>933</v>
      </c>
      <c r="D45" s="257">
        <v>36700</v>
      </c>
    </row>
    <row r="46" spans="1:4" x14ac:dyDescent="0.25">
      <c r="A46" s="257" t="s">
        <v>122</v>
      </c>
      <c r="B46" s="257" t="s">
        <v>123</v>
      </c>
      <c r="C46" s="257" t="s">
        <v>928</v>
      </c>
      <c r="D46" s="257">
        <v>37903</v>
      </c>
    </row>
    <row r="47" spans="1:4" x14ac:dyDescent="0.25">
      <c r="A47" s="257" t="s">
        <v>126</v>
      </c>
      <c r="B47" s="257" t="s">
        <v>456</v>
      </c>
      <c r="C47" s="257" t="s">
        <v>935</v>
      </c>
      <c r="D47" s="257">
        <v>25812</v>
      </c>
    </row>
    <row r="48" spans="1:4" x14ac:dyDescent="0.25">
      <c r="A48" s="257" t="s">
        <v>128</v>
      </c>
      <c r="B48" s="257" t="s">
        <v>129</v>
      </c>
      <c r="C48" s="257" t="s">
        <v>986</v>
      </c>
      <c r="D48" s="257">
        <v>29700.5</v>
      </c>
    </row>
    <row r="49" spans="1:4" x14ac:dyDescent="0.25">
      <c r="A49" s="258" t="s">
        <v>131</v>
      </c>
      <c r="B49" s="258" t="s">
        <v>132</v>
      </c>
      <c r="C49" s="258" t="s">
        <v>1720</v>
      </c>
      <c r="D49" s="258">
        <v>2077.5</v>
      </c>
    </row>
    <row r="50" spans="1:4" x14ac:dyDescent="0.25">
      <c r="A50" s="258" t="s">
        <v>133</v>
      </c>
      <c r="B50" s="258" t="s">
        <v>134</v>
      </c>
      <c r="C50" s="258" t="s">
        <v>1727</v>
      </c>
      <c r="D50" s="258">
        <v>4898</v>
      </c>
    </row>
    <row r="51" spans="1:4" x14ac:dyDescent="0.25">
      <c r="A51" s="250" t="s">
        <v>136</v>
      </c>
      <c r="B51" s="250" t="s">
        <v>137</v>
      </c>
      <c r="C51" s="250" t="s">
        <v>1926</v>
      </c>
      <c r="D51" s="250">
        <v>62.5</v>
      </c>
    </row>
    <row r="52" spans="1:4" x14ac:dyDescent="0.25">
      <c r="A52" s="250" t="s">
        <v>138</v>
      </c>
      <c r="B52" s="250" t="s">
        <v>139</v>
      </c>
      <c r="C52" s="250" t="s">
        <v>1927</v>
      </c>
      <c r="D52" s="250">
        <v>62.5</v>
      </c>
    </row>
    <row r="53" spans="1:4" x14ac:dyDescent="0.25">
      <c r="A53" s="250" t="s">
        <v>140</v>
      </c>
      <c r="B53" s="250" t="s">
        <v>141</v>
      </c>
      <c r="C53" s="250" t="s">
        <v>1928</v>
      </c>
      <c r="D53" s="250">
        <v>62.5</v>
      </c>
    </row>
    <row r="54" spans="1:4" x14ac:dyDescent="0.25">
      <c r="A54" s="250" t="s">
        <v>145</v>
      </c>
      <c r="B54" s="250" t="s">
        <v>146</v>
      </c>
      <c r="C54" s="250" t="s">
        <v>1930</v>
      </c>
      <c r="D54" s="250">
        <v>62.5</v>
      </c>
    </row>
    <row r="55" spans="1:4" x14ac:dyDescent="0.25">
      <c r="A55" s="259" t="s">
        <v>150</v>
      </c>
      <c r="B55" s="259" t="s">
        <v>151</v>
      </c>
      <c r="C55" s="259" t="s">
        <v>980</v>
      </c>
      <c r="D55" s="259">
        <v>6953.5</v>
      </c>
    </row>
    <row r="56" spans="1:4" x14ac:dyDescent="0.25">
      <c r="A56" s="259" t="s">
        <v>152</v>
      </c>
      <c r="B56" s="259" t="s">
        <v>153</v>
      </c>
      <c r="C56" s="259" t="s">
        <v>997</v>
      </c>
      <c r="D56" s="259">
        <v>7166</v>
      </c>
    </row>
    <row r="57" spans="1:4" x14ac:dyDescent="0.25">
      <c r="A57" s="259" t="s">
        <v>155</v>
      </c>
      <c r="B57" s="259" t="s">
        <v>156</v>
      </c>
      <c r="C57" s="259" t="s">
        <v>1086</v>
      </c>
      <c r="D57" s="259">
        <v>6493</v>
      </c>
    </row>
    <row r="58" spans="1:4" x14ac:dyDescent="0.25">
      <c r="A58" s="259" t="s">
        <v>157</v>
      </c>
      <c r="B58" s="259" t="s">
        <v>158</v>
      </c>
      <c r="C58" s="259" t="s">
        <v>1089</v>
      </c>
      <c r="D58" s="259">
        <v>2607</v>
      </c>
    </row>
    <row r="59" spans="1:4" x14ac:dyDescent="0.25">
      <c r="A59" s="259" t="s">
        <v>162</v>
      </c>
      <c r="B59" s="259" t="s">
        <v>163</v>
      </c>
      <c r="C59" s="259" t="s">
        <v>1078</v>
      </c>
      <c r="D59" s="259">
        <v>7215.5</v>
      </c>
    </row>
    <row r="60" spans="1:4" x14ac:dyDescent="0.25">
      <c r="A60" s="259" t="s">
        <v>164</v>
      </c>
      <c r="B60" s="259" t="s">
        <v>165</v>
      </c>
      <c r="C60" s="259" t="s">
        <v>1023</v>
      </c>
      <c r="D60" s="259">
        <v>1708.5</v>
      </c>
    </row>
    <row r="61" spans="1:4" x14ac:dyDescent="0.25">
      <c r="A61" s="259" t="s">
        <v>166</v>
      </c>
      <c r="B61" s="259" t="s">
        <v>167</v>
      </c>
      <c r="C61" s="259" t="s">
        <v>1106</v>
      </c>
      <c r="D61" s="259">
        <v>2659.5</v>
      </c>
    </row>
    <row r="62" spans="1:4" x14ac:dyDescent="0.25">
      <c r="A62" s="259" t="s">
        <v>168</v>
      </c>
      <c r="B62" s="259" t="s">
        <v>169</v>
      </c>
      <c r="C62" s="259" t="s">
        <v>1206</v>
      </c>
      <c r="D62" s="259">
        <v>3360</v>
      </c>
    </row>
    <row r="63" spans="1:4" x14ac:dyDescent="0.25">
      <c r="A63" s="259" t="s">
        <v>170</v>
      </c>
      <c r="B63" s="259" t="s">
        <v>171</v>
      </c>
      <c r="C63" s="260" t="s">
        <v>1951</v>
      </c>
      <c r="D63" s="259">
        <v>813.5</v>
      </c>
    </row>
    <row r="64" spans="1:4" x14ac:dyDescent="0.25">
      <c r="A64" s="259" t="s">
        <v>172</v>
      </c>
      <c r="B64" s="259" t="s">
        <v>173</v>
      </c>
      <c r="C64" s="259" t="s">
        <v>1185</v>
      </c>
      <c r="D64" s="259">
        <v>169</v>
      </c>
    </row>
    <row r="65" spans="1:4" x14ac:dyDescent="0.25">
      <c r="A65" s="259" t="s">
        <v>174</v>
      </c>
      <c r="B65" s="259" t="s">
        <v>175</v>
      </c>
      <c r="C65" s="259" t="s">
        <v>1183</v>
      </c>
      <c r="D65" s="259">
        <v>143.5</v>
      </c>
    </row>
    <row r="66" spans="1:4" x14ac:dyDescent="0.25">
      <c r="A66" s="259" t="s">
        <v>176</v>
      </c>
      <c r="B66" s="259" t="s">
        <v>177</v>
      </c>
      <c r="C66" s="259" t="s">
        <v>1116</v>
      </c>
      <c r="D66" s="259">
        <v>855</v>
      </c>
    </row>
    <row r="67" spans="1:4" x14ac:dyDescent="0.25">
      <c r="A67" s="259" t="s">
        <v>178</v>
      </c>
      <c r="B67" s="259" t="s">
        <v>179</v>
      </c>
      <c r="C67" s="259" t="s">
        <v>1014</v>
      </c>
      <c r="D67" s="259">
        <v>855</v>
      </c>
    </row>
    <row r="68" spans="1:4" x14ac:dyDescent="0.25">
      <c r="A68" s="259" t="s">
        <v>180</v>
      </c>
      <c r="B68" s="259" t="s">
        <v>181</v>
      </c>
      <c r="C68" s="259" t="s">
        <v>1019</v>
      </c>
      <c r="D68" s="259">
        <v>7292</v>
      </c>
    </row>
    <row r="69" spans="1:4" x14ac:dyDescent="0.25">
      <c r="A69" s="259" t="s">
        <v>188</v>
      </c>
      <c r="B69" s="259" t="s">
        <v>189</v>
      </c>
      <c r="C69" s="259" t="s">
        <v>1098</v>
      </c>
      <c r="D69" s="259">
        <v>2163.5</v>
      </c>
    </row>
    <row r="70" spans="1:4" x14ac:dyDescent="0.25">
      <c r="A70" s="259" t="s">
        <v>190</v>
      </c>
      <c r="B70" s="259" t="s">
        <v>191</v>
      </c>
      <c r="C70" s="259" t="s">
        <v>1104</v>
      </c>
      <c r="D70" s="259">
        <v>3209.5</v>
      </c>
    </row>
    <row r="71" spans="1:4" x14ac:dyDescent="0.25">
      <c r="A71" s="259" t="s">
        <v>192</v>
      </c>
      <c r="B71" s="259" t="s">
        <v>193</v>
      </c>
      <c r="C71" s="259" t="s">
        <v>1091</v>
      </c>
      <c r="D71" s="259">
        <v>3681.5</v>
      </c>
    </row>
    <row r="72" spans="1:4" x14ac:dyDescent="0.25">
      <c r="A72" s="259" t="s">
        <v>195</v>
      </c>
      <c r="B72" s="259" t="s">
        <v>196</v>
      </c>
      <c r="C72" s="259" t="s">
        <v>1674</v>
      </c>
      <c r="D72" s="259">
        <v>3838</v>
      </c>
    </row>
    <row r="73" spans="1:4" x14ac:dyDescent="0.25">
      <c r="A73" s="259" t="s">
        <v>197</v>
      </c>
      <c r="B73" s="259" t="s">
        <v>198</v>
      </c>
      <c r="C73" s="259" t="s">
        <v>1677</v>
      </c>
      <c r="D73" s="259">
        <v>4726.5</v>
      </c>
    </row>
    <row r="74" spans="1:4" x14ac:dyDescent="0.25">
      <c r="A74" s="259" t="s">
        <v>200</v>
      </c>
      <c r="B74" s="259" t="s">
        <v>201</v>
      </c>
      <c r="C74" s="259" t="s">
        <v>1919</v>
      </c>
      <c r="D74" s="259">
        <v>545</v>
      </c>
    </row>
    <row r="75" spans="1:4" x14ac:dyDescent="0.25">
      <c r="A75" s="261" t="s">
        <v>1955</v>
      </c>
      <c r="B75" s="262" t="s">
        <v>206</v>
      </c>
      <c r="C75" s="262" t="s">
        <v>1046</v>
      </c>
      <c r="D75" s="262">
        <v>6067.5</v>
      </c>
    </row>
    <row r="76" spans="1:4" x14ac:dyDescent="0.25">
      <c r="A76" s="261" t="s">
        <v>1956</v>
      </c>
      <c r="B76" s="262" t="s">
        <v>208</v>
      </c>
      <c r="C76" s="262" t="s">
        <v>1050</v>
      </c>
      <c r="D76" s="262">
        <v>8435</v>
      </c>
    </row>
    <row r="77" spans="1:4" x14ac:dyDescent="0.25">
      <c r="A77" s="261" t="s">
        <v>1957</v>
      </c>
      <c r="B77" s="262" t="s">
        <v>210</v>
      </c>
      <c r="C77" s="262" t="s">
        <v>1044</v>
      </c>
      <c r="D77" s="262">
        <v>10322</v>
      </c>
    </row>
    <row r="78" spans="1:4" x14ac:dyDescent="0.25">
      <c r="A78" s="263" t="s">
        <v>1958</v>
      </c>
      <c r="B78" s="264" t="s">
        <v>220</v>
      </c>
      <c r="C78" s="264" t="s">
        <v>1303</v>
      </c>
      <c r="D78" s="264">
        <v>2361.5</v>
      </c>
    </row>
    <row r="79" spans="1:4" x14ac:dyDescent="0.25">
      <c r="A79" s="264" t="s">
        <v>221</v>
      </c>
      <c r="B79" s="264" t="s">
        <v>222</v>
      </c>
      <c r="C79" s="264" t="s">
        <v>1309</v>
      </c>
      <c r="D79" s="264">
        <v>5829.5</v>
      </c>
    </row>
    <row r="80" spans="1:4" x14ac:dyDescent="0.25">
      <c r="A80" s="264" t="s">
        <v>223</v>
      </c>
      <c r="B80" s="264" t="s">
        <v>224</v>
      </c>
      <c r="C80" s="264" t="s">
        <v>1341</v>
      </c>
      <c r="D80" s="264">
        <v>350</v>
      </c>
    </row>
    <row r="81" spans="1:10" x14ac:dyDescent="0.25">
      <c r="A81" s="264" t="s">
        <v>225</v>
      </c>
      <c r="B81" s="264" t="s">
        <v>226</v>
      </c>
      <c r="C81" s="264" t="s">
        <v>1311</v>
      </c>
      <c r="D81" s="264">
        <v>13021.5</v>
      </c>
      <c r="G81" s="244"/>
      <c r="H81" s="244"/>
      <c r="I81" s="244"/>
      <c r="J81" s="244"/>
    </row>
    <row r="82" spans="1:10" x14ac:dyDescent="0.25">
      <c r="A82" s="264" t="s">
        <v>227</v>
      </c>
      <c r="B82" s="264" t="s">
        <v>228</v>
      </c>
      <c r="C82" s="264" t="s">
        <v>1317</v>
      </c>
      <c r="D82" s="264">
        <v>14843</v>
      </c>
    </row>
    <row r="83" spans="1:10" x14ac:dyDescent="0.25">
      <c r="A83" s="264" t="s">
        <v>229</v>
      </c>
      <c r="B83" s="264" t="s">
        <v>230</v>
      </c>
      <c r="C83" s="264" t="s">
        <v>1319</v>
      </c>
      <c r="D83" s="264">
        <v>71369</v>
      </c>
    </row>
    <row r="84" spans="1:10" x14ac:dyDescent="0.25">
      <c r="A84" s="264" t="s">
        <v>231</v>
      </c>
      <c r="B84" s="264" t="s">
        <v>232</v>
      </c>
      <c r="C84" s="264" t="s">
        <v>1321</v>
      </c>
      <c r="D84" s="264">
        <v>18139.5</v>
      </c>
    </row>
    <row r="85" spans="1:10" x14ac:dyDescent="0.25">
      <c r="A85" s="264" t="s">
        <v>233</v>
      </c>
      <c r="B85" s="264" t="s">
        <v>234</v>
      </c>
      <c r="C85" s="264" t="s">
        <v>1323</v>
      </c>
      <c r="D85" s="264">
        <v>21676.5</v>
      </c>
    </row>
    <row r="86" spans="1:10" x14ac:dyDescent="0.25">
      <c r="A86" s="264" t="s">
        <v>235</v>
      </c>
      <c r="B86" s="264" t="s">
        <v>236</v>
      </c>
      <c r="C86" s="264" t="s">
        <v>1327</v>
      </c>
      <c r="D86" s="264">
        <v>24607</v>
      </c>
    </row>
    <row r="87" spans="1:10" x14ac:dyDescent="0.25">
      <c r="A87" s="264" t="s">
        <v>237</v>
      </c>
      <c r="B87" s="264" t="s">
        <v>238</v>
      </c>
      <c r="C87" s="264" t="s">
        <v>1329</v>
      </c>
      <c r="D87" s="264">
        <v>27122</v>
      </c>
    </row>
    <row r="88" spans="1:10" x14ac:dyDescent="0.25">
      <c r="A88" s="264" t="s">
        <v>239</v>
      </c>
      <c r="B88" s="264" t="s">
        <v>240</v>
      </c>
      <c r="C88" s="264" t="s">
        <v>1331</v>
      </c>
      <c r="D88" s="264">
        <v>36203</v>
      </c>
    </row>
    <row r="89" spans="1:10" x14ac:dyDescent="0.25">
      <c r="A89" s="264" t="s">
        <v>241</v>
      </c>
      <c r="B89" s="264" t="s">
        <v>242</v>
      </c>
      <c r="C89" s="264" t="s">
        <v>1920</v>
      </c>
      <c r="D89" s="264">
        <v>675</v>
      </c>
    </row>
    <row r="90" spans="1:10" x14ac:dyDescent="0.25">
      <c r="A90" s="264" t="s">
        <v>244</v>
      </c>
      <c r="B90" s="264" t="s">
        <v>245</v>
      </c>
      <c r="C90" s="264" t="s">
        <v>1921</v>
      </c>
      <c r="D90" s="264">
        <v>2116</v>
      </c>
    </row>
    <row r="91" spans="1:10" x14ac:dyDescent="0.25">
      <c r="A91" s="264" t="s">
        <v>246</v>
      </c>
      <c r="B91" s="264" t="s">
        <v>247</v>
      </c>
      <c r="C91" s="264" t="s">
        <v>1880</v>
      </c>
      <c r="D91" s="264">
        <v>982.5</v>
      </c>
    </row>
    <row r="92" spans="1:10" x14ac:dyDescent="0.25">
      <c r="A92" s="265" t="s">
        <v>266</v>
      </c>
      <c r="B92" s="265" t="s">
        <v>267</v>
      </c>
      <c r="C92" s="265" t="s">
        <v>1768</v>
      </c>
      <c r="D92" s="265">
        <v>36.5</v>
      </c>
    </row>
    <row r="93" spans="1:10" x14ac:dyDescent="0.25">
      <c r="A93" s="265" t="s">
        <v>268</v>
      </c>
      <c r="B93" s="265" t="s">
        <v>269</v>
      </c>
      <c r="C93" s="265" t="s">
        <v>1771</v>
      </c>
      <c r="D93" s="265">
        <v>36.5</v>
      </c>
    </row>
    <row r="94" spans="1:10" x14ac:dyDescent="0.25">
      <c r="A94" s="265" t="s">
        <v>270</v>
      </c>
      <c r="B94" s="265" t="s">
        <v>271</v>
      </c>
      <c r="C94" s="265" t="s">
        <v>1766</v>
      </c>
      <c r="D94" s="265">
        <v>36.5</v>
      </c>
    </row>
    <row r="95" spans="1:10" x14ac:dyDescent="0.25">
      <c r="A95" s="265" t="s">
        <v>272</v>
      </c>
      <c r="B95" s="265" t="s">
        <v>273</v>
      </c>
      <c r="C95" s="265" t="s">
        <v>1852</v>
      </c>
      <c r="D95" s="265">
        <v>208.5</v>
      </c>
    </row>
    <row r="96" spans="1:10" x14ac:dyDescent="0.25">
      <c r="A96" s="265" t="s">
        <v>274</v>
      </c>
      <c r="B96" s="265" t="s">
        <v>275</v>
      </c>
      <c r="C96" s="265" t="s">
        <v>1810</v>
      </c>
      <c r="D96" s="265">
        <v>594.5</v>
      </c>
    </row>
    <row r="97" spans="1:4" x14ac:dyDescent="0.25">
      <c r="A97" s="265" t="s">
        <v>276</v>
      </c>
      <c r="B97" s="265" t="s">
        <v>277</v>
      </c>
      <c r="C97" s="265" t="s">
        <v>1829</v>
      </c>
      <c r="D97" s="265">
        <v>545.5</v>
      </c>
    </row>
    <row r="98" spans="1:4" x14ac:dyDescent="0.25">
      <c r="A98" s="265" t="s">
        <v>278</v>
      </c>
      <c r="B98" s="265" t="s">
        <v>279</v>
      </c>
      <c r="C98" s="265" t="s">
        <v>1670</v>
      </c>
      <c r="D98" s="265">
        <v>357</v>
      </c>
    </row>
    <row r="99" spans="1:4" x14ac:dyDescent="0.25">
      <c r="A99" s="265" t="s">
        <v>280</v>
      </c>
      <c r="B99" s="265" t="s">
        <v>281</v>
      </c>
      <c r="C99" s="265" t="s">
        <v>1663</v>
      </c>
      <c r="D99" s="265">
        <v>121.5</v>
      </c>
    </row>
    <row r="100" spans="1:4" x14ac:dyDescent="0.25">
      <c r="A100" s="265" t="s">
        <v>282</v>
      </c>
      <c r="B100" s="265" t="s">
        <v>283</v>
      </c>
      <c r="C100" s="265" t="s">
        <v>1672</v>
      </c>
      <c r="D100" s="265">
        <v>181.5</v>
      </c>
    </row>
    <row r="101" spans="1:4" x14ac:dyDescent="0.25">
      <c r="A101" s="265" t="s">
        <v>284</v>
      </c>
      <c r="B101" s="265" t="s">
        <v>285</v>
      </c>
      <c r="C101" s="265" t="s">
        <v>1658</v>
      </c>
      <c r="D101" s="265">
        <v>100</v>
      </c>
    </row>
    <row r="102" spans="1:4" x14ac:dyDescent="0.25">
      <c r="A102" s="265" t="s">
        <v>286</v>
      </c>
      <c r="B102" s="265" t="s">
        <v>287</v>
      </c>
      <c r="C102" s="265" t="s">
        <v>1846</v>
      </c>
      <c r="D102" s="265">
        <v>475</v>
      </c>
    </row>
    <row r="103" spans="1:4" x14ac:dyDescent="0.25">
      <c r="A103" s="265" t="s">
        <v>288</v>
      </c>
      <c r="B103" s="265" t="s">
        <v>289</v>
      </c>
      <c r="C103" s="265" t="s">
        <v>1900</v>
      </c>
      <c r="D103" s="265">
        <v>23</v>
      </c>
    </row>
    <row r="104" spans="1:4" x14ac:dyDescent="0.25">
      <c r="A104" s="265" t="s">
        <v>290</v>
      </c>
      <c r="B104" s="265" t="s">
        <v>291</v>
      </c>
      <c r="C104" s="265" t="s">
        <v>1854</v>
      </c>
      <c r="D104" s="265">
        <v>12.5</v>
      </c>
    </row>
    <row r="105" spans="1:4" x14ac:dyDescent="0.25">
      <c r="A105" s="265" t="s">
        <v>292</v>
      </c>
      <c r="B105" s="265" t="s">
        <v>293</v>
      </c>
      <c r="C105" s="265" t="s">
        <v>1011</v>
      </c>
      <c r="D105" s="265">
        <v>6105</v>
      </c>
    </row>
    <row r="106" spans="1:4" x14ac:dyDescent="0.25">
      <c r="A106" s="265" t="s">
        <v>294</v>
      </c>
      <c r="B106" s="265" t="s">
        <v>295</v>
      </c>
      <c r="C106" s="265" t="s">
        <v>1668</v>
      </c>
      <c r="D106" s="265">
        <v>285.5</v>
      </c>
    </row>
    <row r="107" spans="1:4" x14ac:dyDescent="0.25">
      <c r="A107" s="265" t="s">
        <v>296</v>
      </c>
      <c r="B107" s="265" t="s">
        <v>297</v>
      </c>
      <c r="C107" s="265" t="s">
        <v>1631</v>
      </c>
      <c r="D107" s="265">
        <v>29.5</v>
      </c>
    </row>
    <row r="108" spans="1:4" x14ac:dyDescent="0.25">
      <c r="A108" s="265" t="s">
        <v>298</v>
      </c>
      <c r="B108" s="265" t="s">
        <v>299</v>
      </c>
      <c r="C108" s="265" t="s">
        <v>1623</v>
      </c>
      <c r="D108" s="265">
        <v>826.5</v>
      </c>
    </row>
    <row r="109" spans="1:4" x14ac:dyDescent="0.25">
      <c r="A109" s="265" t="s">
        <v>300</v>
      </c>
      <c r="B109" s="265" t="s">
        <v>301</v>
      </c>
      <c r="C109" s="265" t="s">
        <v>1609</v>
      </c>
      <c r="D109" s="265">
        <v>1768.5</v>
      </c>
    </row>
    <row r="110" spans="1:4" x14ac:dyDescent="0.25">
      <c r="A110" s="265" t="s">
        <v>302</v>
      </c>
      <c r="B110" s="265" t="s">
        <v>303</v>
      </c>
      <c r="C110" s="265" t="s">
        <v>1722</v>
      </c>
      <c r="D110" s="265">
        <v>7.5</v>
      </c>
    </row>
    <row r="111" spans="1:4" x14ac:dyDescent="0.25">
      <c r="A111" s="265" t="s">
        <v>304</v>
      </c>
      <c r="B111" s="265" t="s">
        <v>305</v>
      </c>
      <c r="C111" s="265" t="s">
        <v>1545</v>
      </c>
      <c r="D111" s="265">
        <v>618.5</v>
      </c>
    </row>
    <row r="112" spans="1:4" x14ac:dyDescent="0.25">
      <c r="A112" s="265" t="s">
        <v>306</v>
      </c>
      <c r="B112" s="265" t="s">
        <v>307</v>
      </c>
      <c r="C112" s="265" t="s">
        <v>1878</v>
      </c>
      <c r="D112" s="265">
        <v>7.5</v>
      </c>
    </row>
    <row r="113" spans="1:4" x14ac:dyDescent="0.25">
      <c r="A113" s="265" t="s">
        <v>212</v>
      </c>
      <c r="B113" s="265" t="s">
        <v>213</v>
      </c>
      <c r="C113" s="265" t="s">
        <v>1856</v>
      </c>
      <c r="D113" s="265">
        <v>953.5</v>
      </c>
    </row>
    <row r="114" spans="1:4" x14ac:dyDescent="0.25">
      <c r="A114" s="265" t="s">
        <v>214</v>
      </c>
      <c r="B114" s="265" t="s">
        <v>215</v>
      </c>
      <c r="C114" s="265" t="s">
        <v>1861</v>
      </c>
      <c r="D114" s="265">
        <v>1791.5</v>
      </c>
    </row>
    <row r="115" spans="1:4" x14ac:dyDescent="0.25">
      <c r="A115" s="265" t="s">
        <v>216</v>
      </c>
      <c r="B115" s="265" t="s">
        <v>217</v>
      </c>
      <c r="C115" s="265" t="s">
        <v>1863</v>
      </c>
      <c r="D115" s="265">
        <v>2554.5</v>
      </c>
    </row>
    <row r="116" spans="1:4" x14ac:dyDescent="0.25">
      <c r="A116" s="266" t="s">
        <v>249</v>
      </c>
      <c r="B116" s="266" t="s">
        <v>250</v>
      </c>
      <c r="C116" s="266" t="s">
        <v>1910</v>
      </c>
      <c r="D116" s="266">
        <v>115.5</v>
      </c>
    </row>
    <row r="117" spans="1:4" x14ac:dyDescent="0.25">
      <c r="A117" s="266" t="s">
        <v>251</v>
      </c>
      <c r="B117" s="266" t="s">
        <v>252</v>
      </c>
      <c r="C117" s="266" t="s">
        <v>1912</v>
      </c>
      <c r="D117" s="266">
        <v>115.5</v>
      </c>
    </row>
    <row r="118" spans="1:4" x14ac:dyDescent="0.25">
      <c r="A118" s="266" t="s">
        <v>253</v>
      </c>
      <c r="B118" s="266" t="s">
        <v>254</v>
      </c>
      <c r="C118" s="266" t="s">
        <v>1922</v>
      </c>
      <c r="D118" s="266">
        <v>115.5</v>
      </c>
    </row>
    <row r="119" spans="1:4" x14ac:dyDescent="0.25">
      <c r="A119" s="266" t="s">
        <v>255</v>
      </c>
      <c r="B119" s="266" t="s">
        <v>256</v>
      </c>
      <c r="C119" s="266" t="s">
        <v>1923</v>
      </c>
      <c r="D119" s="266">
        <v>62.5</v>
      </c>
    </row>
    <row r="120" spans="1:4" x14ac:dyDescent="0.25">
      <c r="A120" s="266" t="s">
        <v>257</v>
      </c>
      <c r="B120" s="266" t="s">
        <v>258</v>
      </c>
      <c r="C120" s="266" t="s">
        <v>1907</v>
      </c>
      <c r="D120" s="266">
        <v>62.5</v>
      </c>
    </row>
    <row r="121" spans="1:4" x14ac:dyDescent="0.25">
      <c r="A121" s="266" t="s">
        <v>259</v>
      </c>
      <c r="B121" s="266" t="s">
        <v>260</v>
      </c>
      <c r="C121" s="266" t="s">
        <v>1914</v>
      </c>
      <c r="D121" s="266">
        <v>167</v>
      </c>
    </row>
    <row r="122" spans="1:4" x14ac:dyDescent="0.25">
      <c r="A122" s="266" t="s">
        <v>261</v>
      </c>
      <c r="B122" s="266" t="s">
        <v>262</v>
      </c>
      <c r="C122" s="266" t="s">
        <v>1925</v>
      </c>
      <c r="D122" s="266">
        <v>62.5</v>
      </c>
    </row>
    <row r="123" spans="1:4" x14ac:dyDescent="0.25">
      <c r="A123" s="266" t="s">
        <v>263</v>
      </c>
      <c r="B123" s="266" t="s">
        <v>264</v>
      </c>
      <c r="C123" s="266" t="s">
        <v>1924</v>
      </c>
      <c r="D123" s="266">
        <v>62.5</v>
      </c>
    </row>
    <row r="124" spans="1:4" x14ac:dyDescent="0.25">
      <c r="A124" s="267" t="s">
        <v>309</v>
      </c>
      <c r="B124" s="267" t="s">
        <v>310</v>
      </c>
      <c r="C124" s="267" t="s">
        <v>834</v>
      </c>
      <c r="D124" s="267">
        <v>6132.5</v>
      </c>
    </row>
    <row r="125" spans="1:4" x14ac:dyDescent="0.25">
      <c r="A125" s="267" t="s">
        <v>311</v>
      </c>
      <c r="B125" s="267" t="s">
        <v>312</v>
      </c>
      <c r="C125" s="267" t="s">
        <v>843</v>
      </c>
      <c r="D125" s="267">
        <v>6132.5</v>
      </c>
    </row>
    <row r="126" spans="1:4" x14ac:dyDescent="0.25">
      <c r="A126" s="268" t="s">
        <v>143</v>
      </c>
      <c r="B126" s="268" t="s">
        <v>144</v>
      </c>
      <c r="C126" s="268" t="s">
        <v>1929</v>
      </c>
      <c r="D126" s="268">
        <v>62.5</v>
      </c>
    </row>
    <row r="127" spans="1:4" x14ac:dyDescent="0.25">
      <c r="A127" s="268" t="s">
        <v>320</v>
      </c>
      <c r="B127" s="268" t="s">
        <v>321</v>
      </c>
      <c r="C127" s="269" t="s">
        <v>1313</v>
      </c>
      <c r="D127" s="268">
        <v>30712</v>
      </c>
    </row>
    <row r="128" spans="1:4" x14ac:dyDescent="0.25">
      <c r="A128" s="268" t="s">
        <v>322</v>
      </c>
      <c r="B128" s="268" t="s">
        <v>323</v>
      </c>
      <c r="C128" s="268" t="s">
        <v>1313</v>
      </c>
      <c r="D128" s="268">
        <v>30702.5</v>
      </c>
    </row>
    <row r="129" spans="1:4" x14ac:dyDescent="0.25">
      <c r="A129" s="268" t="s">
        <v>324</v>
      </c>
      <c r="B129" s="268" t="s">
        <v>325</v>
      </c>
      <c r="C129" s="269" t="s">
        <v>1938</v>
      </c>
      <c r="D129" s="268">
        <v>30741</v>
      </c>
    </row>
    <row r="130" spans="1:4" x14ac:dyDescent="0.25">
      <c r="A130" s="268" t="s">
        <v>326</v>
      </c>
      <c r="B130" s="268" t="s">
        <v>327</v>
      </c>
      <c r="C130" s="270" t="s">
        <v>1939</v>
      </c>
      <c r="D130" s="268">
        <v>30731.5</v>
      </c>
    </row>
    <row r="131" spans="1:4" x14ac:dyDescent="0.25">
      <c r="A131" s="268" t="s">
        <v>328</v>
      </c>
      <c r="B131" s="268" t="s">
        <v>329</v>
      </c>
      <c r="C131" s="270" t="s">
        <v>1954</v>
      </c>
      <c r="D131" s="268">
        <v>31998.5</v>
      </c>
    </row>
    <row r="132" spans="1:4" x14ac:dyDescent="0.25">
      <c r="A132" s="268" t="s">
        <v>330</v>
      </c>
      <c r="B132" s="268" t="s">
        <v>331</v>
      </c>
      <c r="C132" s="270" t="s">
        <v>1953</v>
      </c>
      <c r="D132" s="268">
        <v>31989</v>
      </c>
    </row>
    <row r="133" spans="1:4" x14ac:dyDescent="0.25">
      <c r="A133" s="268" t="s">
        <v>332</v>
      </c>
      <c r="B133" s="268" t="s">
        <v>333</v>
      </c>
      <c r="C133" s="270" t="s">
        <v>1942</v>
      </c>
      <c r="D133" s="268">
        <v>31979</v>
      </c>
    </row>
    <row r="134" spans="1:4" x14ac:dyDescent="0.25">
      <c r="A134" s="268" t="s">
        <v>334</v>
      </c>
      <c r="B134" s="268" t="s">
        <v>335</v>
      </c>
      <c r="C134" s="270" t="s">
        <v>1943</v>
      </c>
      <c r="D134" s="268">
        <v>31969.5</v>
      </c>
    </row>
    <row r="135" spans="1:4" x14ac:dyDescent="0.25">
      <c r="A135" s="268" t="s">
        <v>1952</v>
      </c>
      <c r="B135" s="271" t="s">
        <v>412</v>
      </c>
      <c r="C135" s="271" t="s">
        <v>1250</v>
      </c>
      <c r="D135" s="268">
        <v>5593</v>
      </c>
    </row>
    <row r="136" spans="1:4" x14ac:dyDescent="0.25">
      <c r="A136" s="272" t="s">
        <v>1932</v>
      </c>
      <c r="B136" s="268" t="s">
        <v>579</v>
      </c>
      <c r="C136" s="269" t="s">
        <v>1946</v>
      </c>
      <c r="D136" s="268">
        <v>1.5</v>
      </c>
    </row>
    <row r="137" spans="1:4" x14ac:dyDescent="0.25">
      <c r="A137" s="268" t="s">
        <v>1933</v>
      </c>
      <c r="B137" s="268" t="s">
        <v>1935</v>
      </c>
      <c r="C137" s="269" t="s">
        <v>1944</v>
      </c>
      <c r="D137" s="268">
        <v>1.5</v>
      </c>
    </row>
    <row r="138" spans="1:4" x14ac:dyDescent="0.25">
      <c r="A138" s="268" t="s">
        <v>1934</v>
      </c>
      <c r="B138" s="268" t="s">
        <v>1937</v>
      </c>
      <c r="C138" s="269" t="s">
        <v>1950</v>
      </c>
      <c r="D138" s="268">
        <v>214</v>
      </c>
    </row>
    <row r="139" spans="1:4" x14ac:dyDescent="0.25">
      <c r="A139" s="268" t="s">
        <v>1931</v>
      </c>
      <c r="B139" s="268" t="s">
        <v>1936</v>
      </c>
      <c r="C139" s="269" t="s">
        <v>1945</v>
      </c>
      <c r="D139" s="268">
        <v>21.5</v>
      </c>
    </row>
    <row r="140" spans="1:4" x14ac:dyDescent="0.25">
      <c r="A140" s="268" t="s">
        <v>1285</v>
      </c>
      <c r="B140" s="268" t="s">
        <v>1297</v>
      </c>
      <c r="C140" s="268" t="s">
        <v>1284</v>
      </c>
      <c r="D140" s="268">
        <v>31661</v>
      </c>
    </row>
    <row r="141" spans="1:4" x14ac:dyDescent="0.25">
      <c r="A141" s="268" t="s">
        <v>1300</v>
      </c>
      <c r="B141" s="268" t="s">
        <v>1297</v>
      </c>
      <c r="C141" s="268" t="s">
        <v>1299</v>
      </c>
      <c r="D141" s="268">
        <v>37215</v>
      </c>
    </row>
    <row r="142" spans="1:4" x14ac:dyDescent="0.25">
      <c r="A142" s="268" t="s">
        <v>1289</v>
      </c>
      <c r="B142" s="268" t="s">
        <v>1297</v>
      </c>
      <c r="C142" s="268" t="s">
        <v>1288</v>
      </c>
      <c r="D142" s="268">
        <v>45876</v>
      </c>
    </row>
    <row r="143" spans="1:4" x14ac:dyDescent="0.25">
      <c r="A143" s="268" t="s">
        <v>1292</v>
      </c>
      <c r="B143" s="273" t="s">
        <v>1291</v>
      </c>
      <c r="C143" s="268" t="s">
        <v>1290</v>
      </c>
      <c r="D143" s="268">
        <v>37506</v>
      </c>
    </row>
    <row r="144" spans="1:4" x14ac:dyDescent="0.25">
      <c r="A144" s="268" t="s">
        <v>1296</v>
      </c>
      <c r="B144" s="268" t="s">
        <v>1297</v>
      </c>
      <c r="C144" s="273" t="s">
        <v>1295</v>
      </c>
      <c r="D144" s="268">
        <v>54413</v>
      </c>
    </row>
    <row r="145" spans="1:4" x14ac:dyDescent="0.25">
      <c r="A145" s="268" t="s">
        <v>1298</v>
      </c>
      <c r="B145" s="268" t="s">
        <v>1297</v>
      </c>
      <c r="C145" s="273" t="s">
        <v>1297</v>
      </c>
      <c r="D145" s="268">
        <v>59433</v>
      </c>
    </row>
    <row r="146" spans="1:4" x14ac:dyDescent="0.25">
      <c r="C146" s="277"/>
      <c r="D146" s="27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2B6F-23FB-439E-942C-71EF09DA15F8}">
  <dimension ref="A1:D149"/>
  <sheetViews>
    <sheetView topLeftCell="A34" workbookViewId="0">
      <selection activeCell="D61" sqref="D61"/>
    </sheetView>
  </sheetViews>
  <sheetFormatPr defaultRowHeight="15" x14ac:dyDescent="0.25"/>
  <cols>
    <col min="1" max="1" width="63.140625" style="244" bestFit="1" customWidth="1"/>
    <col min="2" max="2" width="19" style="244" bestFit="1" customWidth="1"/>
    <col min="3" max="3" width="19.85546875" style="244" bestFit="1" customWidth="1"/>
    <col min="4" max="4" width="9.28515625" style="244" customWidth="1"/>
  </cols>
  <sheetData>
    <row r="1" spans="1:4" x14ac:dyDescent="0.25">
      <c r="A1" s="244" t="s">
        <v>17</v>
      </c>
      <c r="B1" s="244" t="s">
        <v>18</v>
      </c>
      <c r="C1" s="244" t="s">
        <v>702</v>
      </c>
      <c r="D1" s="244">
        <v>3181</v>
      </c>
    </row>
    <row r="2" spans="1:4" x14ac:dyDescent="0.25">
      <c r="A2" s="244" t="s">
        <v>19</v>
      </c>
      <c r="B2" s="244" t="s">
        <v>20</v>
      </c>
      <c r="C2" s="244" t="s">
        <v>709</v>
      </c>
      <c r="D2" s="244">
        <v>3061.5</v>
      </c>
    </row>
    <row r="3" spans="1:4" x14ac:dyDescent="0.25">
      <c r="A3" s="244" t="s">
        <v>22</v>
      </c>
      <c r="B3" s="244" t="s">
        <v>23</v>
      </c>
      <c r="C3" s="244" t="s">
        <v>744</v>
      </c>
      <c r="D3" s="244">
        <v>3550</v>
      </c>
    </row>
    <row r="4" spans="1:4" x14ac:dyDescent="0.25">
      <c r="A4" s="244" t="s">
        <v>24</v>
      </c>
      <c r="B4" s="244" t="s">
        <v>25</v>
      </c>
      <c r="C4" s="244" t="s">
        <v>732</v>
      </c>
      <c r="D4" s="244">
        <v>3180</v>
      </c>
    </row>
    <row r="5" spans="1:4" x14ac:dyDescent="0.25">
      <c r="A5" s="244" t="s">
        <v>27</v>
      </c>
      <c r="B5" s="244" t="s">
        <v>28</v>
      </c>
      <c r="C5" s="244" t="s">
        <v>752</v>
      </c>
      <c r="D5" s="244">
        <v>1419.5</v>
      </c>
    </row>
    <row r="6" spans="1:4" x14ac:dyDescent="0.25">
      <c r="A6" s="244" t="s">
        <v>29</v>
      </c>
      <c r="B6" s="244" t="s">
        <v>30</v>
      </c>
      <c r="C6" s="244" t="s">
        <v>756</v>
      </c>
      <c r="D6" s="244">
        <v>1345</v>
      </c>
    </row>
    <row r="7" spans="1:4" x14ac:dyDescent="0.25">
      <c r="A7" s="244" t="s">
        <v>31</v>
      </c>
      <c r="B7" s="244" t="s">
        <v>32</v>
      </c>
      <c r="C7" s="244" t="s">
        <v>749</v>
      </c>
      <c r="D7" s="244">
        <v>1419.5</v>
      </c>
    </row>
    <row r="8" spans="1:4" x14ac:dyDescent="0.25">
      <c r="A8" s="244" t="s">
        <v>33</v>
      </c>
      <c r="B8" s="244" t="s">
        <v>34</v>
      </c>
      <c r="C8" s="244" t="s">
        <v>754</v>
      </c>
      <c r="D8" s="244">
        <v>1345</v>
      </c>
    </row>
    <row r="9" spans="1:4" x14ac:dyDescent="0.25">
      <c r="A9" s="244" t="s">
        <v>36</v>
      </c>
      <c r="B9" s="244" t="s">
        <v>37</v>
      </c>
      <c r="C9" s="244" t="s">
        <v>784</v>
      </c>
      <c r="D9" s="244">
        <v>1345</v>
      </c>
    </row>
    <row r="10" spans="1:4" x14ac:dyDescent="0.25">
      <c r="A10" s="244" t="s">
        <v>38</v>
      </c>
      <c r="B10" s="244" t="s">
        <v>39</v>
      </c>
      <c r="C10" s="244" t="s">
        <v>793</v>
      </c>
      <c r="D10" s="244">
        <v>2497.5</v>
      </c>
    </row>
    <row r="11" spans="1:4" x14ac:dyDescent="0.25">
      <c r="A11" s="244" t="s">
        <v>40</v>
      </c>
      <c r="B11" s="244" t="s">
        <v>41</v>
      </c>
      <c r="C11" s="244" t="s">
        <v>758</v>
      </c>
      <c r="D11" s="244">
        <v>1419.5</v>
      </c>
    </row>
    <row r="12" spans="1:4" x14ac:dyDescent="0.25">
      <c r="A12" s="244" t="s">
        <v>42</v>
      </c>
      <c r="B12" s="244" t="s">
        <v>43</v>
      </c>
      <c r="C12" s="244" t="s">
        <v>763</v>
      </c>
      <c r="D12" s="244">
        <v>1873.5</v>
      </c>
    </row>
    <row r="13" spans="1:4" x14ac:dyDescent="0.25">
      <c r="A13" s="244" t="s">
        <v>45</v>
      </c>
      <c r="B13" s="244" t="s">
        <v>46</v>
      </c>
      <c r="C13" s="244" t="s">
        <v>765</v>
      </c>
      <c r="D13" s="244">
        <v>3181</v>
      </c>
    </row>
    <row r="14" spans="1:4" x14ac:dyDescent="0.25">
      <c r="A14" s="244" t="s">
        <v>47</v>
      </c>
      <c r="B14" s="244" t="s">
        <v>48</v>
      </c>
      <c r="C14" s="244" t="s">
        <v>768</v>
      </c>
      <c r="D14" s="244">
        <v>1419.5</v>
      </c>
    </row>
    <row r="15" spans="1:4" x14ac:dyDescent="0.25">
      <c r="A15" s="244" t="s">
        <v>49</v>
      </c>
      <c r="B15" s="244" t="s">
        <v>50</v>
      </c>
      <c r="C15" s="244" t="s">
        <v>770</v>
      </c>
      <c r="D15" s="244">
        <v>1345</v>
      </c>
    </row>
    <row r="16" spans="1:4" x14ac:dyDescent="0.25">
      <c r="A16" s="244" t="s">
        <v>52</v>
      </c>
      <c r="B16" s="244" t="s">
        <v>53</v>
      </c>
      <c r="C16" s="244" t="s">
        <v>822</v>
      </c>
      <c r="D16" s="244">
        <v>2467.5</v>
      </c>
    </row>
    <row r="17" spans="1:4" x14ac:dyDescent="0.25">
      <c r="A17" s="244" t="s">
        <v>55</v>
      </c>
      <c r="B17" s="244" t="s">
        <v>56</v>
      </c>
      <c r="C17" s="244" t="s">
        <v>801</v>
      </c>
      <c r="D17" s="244">
        <v>1395.5</v>
      </c>
    </row>
    <row r="18" spans="1:4" x14ac:dyDescent="0.25">
      <c r="A18" s="244" t="s">
        <v>52</v>
      </c>
      <c r="B18" s="244" t="s">
        <v>53</v>
      </c>
      <c r="C18" s="244" t="s">
        <v>822</v>
      </c>
      <c r="D18" s="244">
        <v>1658</v>
      </c>
    </row>
    <row r="19" spans="1:4" x14ac:dyDescent="0.25">
      <c r="A19" s="244" t="s">
        <v>59</v>
      </c>
      <c r="B19" s="244" t="s">
        <v>60</v>
      </c>
      <c r="C19" s="244" t="s">
        <v>804</v>
      </c>
      <c r="D19" s="244">
        <v>1395.5</v>
      </c>
    </row>
    <row r="20" spans="1:4" x14ac:dyDescent="0.25">
      <c r="A20" s="244" t="s">
        <v>61</v>
      </c>
      <c r="B20" s="244" t="s">
        <v>62</v>
      </c>
      <c r="C20" s="244" t="s">
        <v>814</v>
      </c>
      <c r="D20" s="244">
        <v>1658</v>
      </c>
    </row>
    <row r="21" spans="1:4" x14ac:dyDescent="0.25">
      <c r="A21" s="244" t="s">
        <v>63</v>
      </c>
      <c r="B21" s="244" t="s">
        <v>64</v>
      </c>
      <c r="C21" s="244" t="s">
        <v>806</v>
      </c>
      <c r="D21" s="244">
        <v>1395.5</v>
      </c>
    </row>
    <row r="22" spans="1:4" x14ac:dyDescent="0.25">
      <c r="A22" s="244" t="s">
        <v>65</v>
      </c>
      <c r="B22" s="244" t="s">
        <v>66</v>
      </c>
      <c r="C22" s="244" t="s">
        <v>816</v>
      </c>
      <c r="D22" s="244">
        <v>1658</v>
      </c>
    </row>
    <row r="23" spans="1:4" x14ac:dyDescent="0.25">
      <c r="A23" s="244" t="s">
        <v>67</v>
      </c>
      <c r="B23" s="244" t="s">
        <v>68</v>
      </c>
      <c r="C23" s="244" t="s">
        <v>810</v>
      </c>
      <c r="D23" s="244">
        <v>1395.5</v>
      </c>
    </row>
    <row r="24" spans="1:4" x14ac:dyDescent="0.25">
      <c r="A24" s="244" t="s">
        <v>69</v>
      </c>
      <c r="B24" s="244" t="s">
        <v>70</v>
      </c>
      <c r="C24" s="244" t="s">
        <v>820</v>
      </c>
      <c r="D24" s="244">
        <v>1658</v>
      </c>
    </row>
    <row r="25" spans="1:4" x14ac:dyDescent="0.25">
      <c r="A25" s="244" t="s">
        <v>71</v>
      </c>
      <c r="B25" s="244" t="s">
        <v>72</v>
      </c>
      <c r="C25" s="244" t="s">
        <v>808</v>
      </c>
      <c r="D25" s="244">
        <v>1395.5</v>
      </c>
    </row>
    <row r="26" spans="1:4" x14ac:dyDescent="0.25">
      <c r="A26" s="244" t="s">
        <v>73</v>
      </c>
      <c r="B26" s="244" t="s">
        <v>74</v>
      </c>
      <c r="C26" s="244" t="s">
        <v>818</v>
      </c>
      <c r="D26" s="244">
        <v>1658</v>
      </c>
    </row>
    <row r="27" spans="1:4" x14ac:dyDescent="0.25">
      <c r="A27" s="244" t="s">
        <v>75</v>
      </c>
      <c r="B27" s="244" t="s">
        <v>76</v>
      </c>
      <c r="C27" s="244" t="s">
        <v>1870</v>
      </c>
      <c r="D27" s="244">
        <v>1395.5</v>
      </c>
    </row>
    <row r="28" spans="1:4" x14ac:dyDescent="0.25">
      <c r="A28" s="244" t="s">
        <v>77</v>
      </c>
      <c r="B28" s="244" t="s">
        <v>78</v>
      </c>
      <c r="C28" s="244" t="s">
        <v>1876</v>
      </c>
      <c r="D28" s="244">
        <v>1658</v>
      </c>
    </row>
    <row r="29" spans="1:4" x14ac:dyDescent="0.25">
      <c r="A29" s="244" t="s">
        <v>79</v>
      </c>
      <c r="B29" s="244" t="s">
        <v>80</v>
      </c>
      <c r="C29" s="244" t="s">
        <v>1865</v>
      </c>
      <c r="D29" s="244">
        <v>1395.5</v>
      </c>
    </row>
    <row r="30" spans="1:4" x14ac:dyDescent="0.25">
      <c r="A30" s="244" t="s">
        <v>81</v>
      </c>
      <c r="B30" s="244" t="s">
        <v>82</v>
      </c>
      <c r="C30" s="244" t="s">
        <v>1872</v>
      </c>
      <c r="D30" s="244">
        <v>1658</v>
      </c>
    </row>
    <row r="31" spans="1:4" x14ac:dyDescent="0.25">
      <c r="A31" s="244" t="s">
        <v>83</v>
      </c>
      <c r="B31" s="244" t="s">
        <v>84</v>
      </c>
      <c r="C31" s="244" t="s">
        <v>1868</v>
      </c>
      <c r="D31" s="244">
        <v>1395.5</v>
      </c>
    </row>
    <row r="32" spans="1:4" x14ac:dyDescent="0.25">
      <c r="A32" s="244" t="s">
        <v>85</v>
      </c>
      <c r="B32" s="244" t="s">
        <v>86</v>
      </c>
      <c r="C32" s="244" t="s">
        <v>1874</v>
      </c>
      <c r="D32" s="244">
        <v>1658</v>
      </c>
    </row>
    <row r="33" spans="1:4" x14ac:dyDescent="0.25">
      <c r="A33" s="244" t="s">
        <v>88</v>
      </c>
      <c r="B33" s="244" t="s">
        <v>89</v>
      </c>
      <c r="C33" s="244" t="s">
        <v>1799</v>
      </c>
      <c r="D33" s="244">
        <v>26</v>
      </c>
    </row>
    <row r="34" spans="1:4" x14ac:dyDescent="0.25">
      <c r="A34" s="244" t="s">
        <v>57</v>
      </c>
      <c r="B34" s="244" t="s">
        <v>58</v>
      </c>
      <c r="C34" s="244" t="s">
        <v>812</v>
      </c>
      <c r="D34" s="244">
        <v>423</v>
      </c>
    </row>
    <row r="35" spans="1:4" x14ac:dyDescent="0.25">
      <c r="A35" s="244" t="s">
        <v>92</v>
      </c>
      <c r="B35" s="244" t="s">
        <v>93</v>
      </c>
      <c r="C35" s="244" t="s">
        <v>1840</v>
      </c>
      <c r="D35" s="244">
        <v>636</v>
      </c>
    </row>
    <row r="36" spans="1:4" x14ac:dyDescent="0.25">
      <c r="A36" s="244" t="s">
        <v>94</v>
      </c>
      <c r="B36" s="244" t="s">
        <v>95</v>
      </c>
      <c r="C36" s="244" t="s">
        <v>1843</v>
      </c>
      <c r="D36" s="244">
        <v>739.5</v>
      </c>
    </row>
    <row r="37" spans="1:4" x14ac:dyDescent="0.25">
      <c r="A37" s="244" t="s">
        <v>96</v>
      </c>
      <c r="B37" s="244" t="s">
        <v>97</v>
      </c>
      <c r="C37" s="244" t="s">
        <v>1417</v>
      </c>
      <c r="D37" s="244">
        <v>10.5</v>
      </c>
    </row>
    <row r="38" spans="1:4" x14ac:dyDescent="0.25">
      <c r="A38" s="244" t="s">
        <v>98</v>
      </c>
      <c r="B38" s="244" t="s">
        <v>99</v>
      </c>
      <c r="C38" s="244" t="s">
        <v>730</v>
      </c>
      <c r="D38" s="244">
        <v>26</v>
      </c>
    </row>
    <row r="39" spans="1:4" x14ac:dyDescent="0.25">
      <c r="A39" s="244" t="s">
        <v>100</v>
      </c>
      <c r="B39" s="244" t="s">
        <v>101</v>
      </c>
      <c r="C39" s="244" t="s">
        <v>726</v>
      </c>
      <c r="D39" s="244">
        <v>20</v>
      </c>
    </row>
    <row r="40" spans="1:4" x14ac:dyDescent="0.25">
      <c r="A40" s="244" t="s">
        <v>105</v>
      </c>
      <c r="B40" s="244" t="s">
        <v>106</v>
      </c>
      <c r="C40" s="244" t="s">
        <v>876</v>
      </c>
      <c r="D40" s="244">
        <v>48792</v>
      </c>
    </row>
    <row r="41" spans="1:4" x14ac:dyDescent="0.25">
      <c r="A41" s="244" t="s">
        <v>107</v>
      </c>
      <c r="B41" s="244" t="s">
        <v>108</v>
      </c>
      <c r="C41" s="244" t="s">
        <v>871</v>
      </c>
      <c r="D41" s="244">
        <v>49000</v>
      </c>
    </row>
    <row r="42" spans="1:4" x14ac:dyDescent="0.25">
      <c r="A42" s="244" t="s">
        <v>110</v>
      </c>
      <c r="B42" s="244" t="s">
        <v>111</v>
      </c>
      <c r="C42" s="244" t="s">
        <v>931</v>
      </c>
      <c r="D42" s="244">
        <v>51355.5</v>
      </c>
    </row>
    <row r="43" spans="1:4" x14ac:dyDescent="0.25">
      <c r="A43" s="244" t="s">
        <v>112</v>
      </c>
      <c r="B43" s="244" t="s">
        <v>113</v>
      </c>
      <c r="C43" s="244" t="s">
        <v>925</v>
      </c>
      <c r="D43" s="244">
        <v>51362</v>
      </c>
    </row>
    <row r="44" spans="1:4" x14ac:dyDescent="0.25">
      <c r="A44" s="244" t="s">
        <v>116</v>
      </c>
      <c r="B44" s="244" t="s">
        <v>117</v>
      </c>
      <c r="C44" s="244" t="s">
        <v>878</v>
      </c>
      <c r="D44" s="244">
        <v>34337.5</v>
      </c>
    </row>
    <row r="45" spans="1:4" x14ac:dyDescent="0.25">
      <c r="A45" s="244" t="s">
        <v>118</v>
      </c>
      <c r="B45" s="244" t="s">
        <v>119</v>
      </c>
      <c r="C45" s="244" t="s">
        <v>873</v>
      </c>
      <c r="D45" s="244">
        <v>36810</v>
      </c>
    </row>
    <row r="46" spans="1:4" x14ac:dyDescent="0.25">
      <c r="A46" s="244" t="s">
        <v>120</v>
      </c>
      <c r="B46" s="244" t="s">
        <v>121</v>
      </c>
      <c r="C46" s="244" t="s">
        <v>933</v>
      </c>
      <c r="D46" s="244">
        <v>36700</v>
      </c>
    </row>
    <row r="47" spans="1:4" x14ac:dyDescent="0.25">
      <c r="A47" s="244" t="s">
        <v>122</v>
      </c>
      <c r="B47" s="244" t="s">
        <v>123</v>
      </c>
      <c r="C47" s="244" t="s">
        <v>928</v>
      </c>
      <c r="D47" s="244">
        <v>37903</v>
      </c>
    </row>
    <row r="48" spans="1:4" x14ac:dyDescent="0.25">
      <c r="A48" s="244" t="s">
        <v>126</v>
      </c>
      <c r="B48" s="244" t="s">
        <v>456</v>
      </c>
      <c r="C48" s="244" t="s">
        <v>935</v>
      </c>
      <c r="D48" s="244">
        <v>25812</v>
      </c>
    </row>
    <row r="49" spans="1:4" x14ac:dyDescent="0.25">
      <c r="A49" s="244" t="s">
        <v>128</v>
      </c>
      <c r="B49" s="244" t="s">
        <v>129</v>
      </c>
      <c r="C49" s="244" t="s">
        <v>986</v>
      </c>
      <c r="D49" s="244">
        <v>29700.5</v>
      </c>
    </row>
    <row r="50" spans="1:4" x14ac:dyDescent="0.25">
      <c r="A50" s="244" t="s">
        <v>90</v>
      </c>
      <c r="B50" s="244" t="s">
        <v>91</v>
      </c>
      <c r="C50" s="244" t="s">
        <v>1837</v>
      </c>
      <c r="D50" s="244">
        <v>2077.5</v>
      </c>
    </row>
    <row r="51" spans="1:4" x14ac:dyDescent="0.25">
      <c r="A51" s="244" t="s">
        <v>133</v>
      </c>
      <c r="B51" s="244" t="s">
        <v>134</v>
      </c>
      <c r="C51" s="244" t="s">
        <v>1727</v>
      </c>
      <c r="D51" s="244">
        <v>4898</v>
      </c>
    </row>
    <row r="52" spans="1:4" x14ac:dyDescent="0.25">
      <c r="A52" s="244" t="s">
        <v>136</v>
      </c>
      <c r="B52" s="244" t="s">
        <v>137</v>
      </c>
      <c r="C52" s="244" t="s">
        <v>1926</v>
      </c>
      <c r="D52" s="244">
        <v>62.5</v>
      </c>
    </row>
    <row r="53" spans="1:4" x14ac:dyDescent="0.25">
      <c r="A53" s="244" t="s">
        <v>138</v>
      </c>
      <c r="B53" s="244" t="s">
        <v>139</v>
      </c>
      <c r="C53" s="244" t="s">
        <v>1927</v>
      </c>
      <c r="D53" s="244">
        <v>62.5</v>
      </c>
    </row>
    <row r="54" spans="1:4" x14ac:dyDescent="0.25">
      <c r="A54" s="244" t="s">
        <v>140</v>
      </c>
      <c r="B54" s="244" t="s">
        <v>141</v>
      </c>
      <c r="C54" s="244" t="s">
        <v>1928</v>
      </c>
      <c r="D54" s="244">
        <v>62.5</v>
      </c>
    </row>
    <row r="55" spans="1:4" x14ac:dyDescent="0.25">
      <c r="A55" s="244" t="s">
        <v>143</v>
      </c>
      <c r="B55" s="244" t="s">
        <v>144</v>
      </c>
      <c r="C55" s="244" t="s">
        <v>1929</v>
      </c>
      <c r="D55" s="244">
        <v>62.5</v>
      </c>
    </row>
    <row r="56" spans="1:4" x14ac:dyDescent="0.25">
      <c r="A56" s="244" t="s">
        <v>145</v>
      </c>
      <c r="B56" s="244" t="s">
        <v>146</v>
      </c>
      <c r="C56" s="244" t="s">
        <v>1930</v>
      </c>
      <c r="D56" s="244">
        <v>62.5</v>
      </c>
    </row>
    <row r="57" spans="1:4" x14ac:dyDescent="0.25">
      <c r="A57" s="244" t="s">
        <v>150</v>
      </c>
      <c r="B57" s="244" t="s">
        <v>151</v>
      </c>
      <c r="C57" s="244" t="s">
        <v>980</v>
      </c>
      <c r="D57" s="244">
        <v>6953.5</v>
      </c>
    </row>
    <row r="58" spans="1:4" x14ac:dyDescent="0.25">
      <c r="A58" s="244" t="s">
        <v>152</v>
      </c>
      <c r="B58" s="244" t="s">
        <v>153</v>
      </c>
      <c r="C58" s="244" t="s">
        <v>997</v>
      </c>
      <c r="D58" s="244">
        <v>7166</v>
      </c>
    </row>
    <row r="59" spans="1:4" x14ac:dyDescent="0.25">
      <c r="A59" s="244" t="s">
        <v>155</v>
      </c>
      <c r="B59" s="244" t="s">
        <v>156</v>
      </c>
      <c r="C59" s="244" t="s">
        <v>1086</v>
      </c>
      <c r="D59" s="244">
        <v>6493</v>
      </c>
    </row>
    <row r="60" spans="1:4" x14ac:dyDescent="0.25">
      <c r="A60" s="244" t="s">
        <v>157</v>
      </c>
      <c r="B60" s="244" t="s">
        <v>158</v>
      </c>
      <c r="C60" s="244" t="s">
        <v>1089</v>
      </c>
      <c r="D60" s="244">
        <v>2607</v>
      </c>
    </row>
    <row r="61" spans="1:4" x14ac:dyDescent="0.25">
      <c r="A61" s="244" t="s">
        <v>162</v>
      </c>
      <c r="B61" s="244" t="s">
        <v>163</v>
      </c>
      <c r="C61" s="244" t="s">
        <v>1078</v>
      </c>
      <c r="D61" s="244">
        <v>7215.5</v>
      </c>
    </row>
    <row r="62" spans="1:4" x14ac:dyDescent="0.25">
      <c r="A62" s="244" t="s">
        <v>164</v>
      </c>
      <c r="B62" s="244" t="s">
        <v>165</v>
      </c>
      <c r="C62" s="244" t="s">
        <v>1023</v>
      </c>
      <c r="D62" s="244">
        <v>1708.5</v>
      </c>
    </row>
    <row r="63" spans="1:4" x14ac:dyDescent="0.25">
      <c r="A63" s="244" t="s">
        <v>166</v>
      </c>
      <c r="B63" s="244" t="s">
        <v>167</v>
      </c>
      <c r="C63" s="244" t="s">
        <v>1106</v>
      </c>
      <c r="D63" s="244">
        <v>2659.5</v>
      </c>
    </row>
    <row r="64" spans="1:4" x14ac:dyDescent="0.25">
      <c r="A64" s="244" t="s">
        <v>168</v>
      </c>
      <c r="B64" s="244" t="s">
        <v>169</v>
      </c>
      <c r="C64" s="244" t="s">
        <v>1206</v>
      </c>
      <c r="D64" s="244">
        <v>3360</v>
      </c>
    </row>
    <row r="65" spans="1:4" x14ac:dyDescent="0.25">
      <c r="A65" s="244" t="s">
        <v>170</v>
      </c>
      <c r="B65" s="244" t="s">
        <v>171</v>
      </c>
      <c r="C65" s="245" t="s">
        <v>1951</v>
      </c>
      <c r="D65" s="244">
        <v>813.5</v>
      </c>
    </row>
    <row r="66" spans="1:4" x14ac:dyDescent="0.25">
      <c r="A66" s="244" t="s">
        <v>131</v>
      </c>
      <c r="B66" s="244" t="s">
        <v>132</v>
      </c>
      <c r="C66" s="244" t="s">
        <v>1720</v>
      </c>
      <c r="D66" s="244">
        <v>169</v>
      </c>
    </row>
    <row r="67" spans="1:4" x14ac:dyDescent="0.25">
      <c r="A67" s="244" t="s">
        <v>174</v>
      </c>
      <c r="B67" s="244" t="s">
        <v>175</v>
      </c>
      <c r="C67" s="244" t="s">
        <v>1183</v>
      </c>
      <c r="D67" s="244">
        <v>143.5</v>
      </c>
    </row>
    <row r="68" spans="1:4" x14ac:dyDescent="0.25">
      <c r="A68" s="244" t="s">
        <v>176</v>
      </c>
      <c r="B68" s="244" t="s">
        <v>177</v>
      </c>
      <c r="C68" s="244" t="s">
        <v>1116</v>
      </c>
      <c r="D68" s="244">
        <v>855</v>
      </c>
    </row>
    <row r="69" spans="1:4" x14ac:dyDescent="0.25">
      <c r="A69" s="244" t="s">
        <v>178</v>
      </c>
      <c r="B69" s="244" t="s">
        <v>179</v>
      </c>
      <c r="C69" s="244" t="s">
        <v>1014</v>
      </c>
      <c r="D69" s="244">
        <v>855</v>
      </c>
    </row>
    <row r="70" spans="1:4" x14ac:dyDescent="0.25">
      <c r="A70" s="244" t="s">
        <v>180</v>
      </c>
      <c r="B70" s="244" t="s">
        <v>181</v>
      </c>
      <c r="C70" s="244" t="s">
        <v>1019</v>
      </c>
      <c r="D70" s="244">
        <v>7292</v>
      </c>
    </row>
    <row r="71" spans="1:4" x14ac:dyDescent="0.25">
      <c r="A71" s="244" t="s">
        <v>188</v>
      </c>
      <c r="B71" s="244" t="s">
        <v>189</v>
      </c>
      <c r="C71" s="244" t="s">
        <v>1098</v>
      </c>
      <c r="D71" s="244">
        <v>2163.5</v>
      </c>
    </row>
    <row r="72" spans="1:4" x14ac:dyDescent="0.25">
      <c r="A72" s="244" t="s">
        <v>190</v>
      </c>
      <c r="B72" s="244" t="s">
        <v>191</v>
      </c>
      <c r="C72" s="244" t="s">
        <v>1104</v>
      </c>
      <c r="D72" s="244">
        <v>3209.5</v>
      </c>
    </row>
    <row r="73" spans="1:4" x14ac:dyDescent="0.25">
      <c r="A73" s="244" t="s">
        <v>192</v>
      </c>
      <c r="B73" s="244" t="s">
        <v>193</v>
      </c>
      <c r="C73" s="244" t="s">
        <v>1091</v>
      </c>
      <c r="D73" s="244">
        <v>3681.5</v>
      </c>
    </row>
    <row r="74" spans="1:4" x14ac:dyDescent="0.25">
      <c r="A74" s="244" t="s">
        <v>195</v>
      </c>
      <c r="B74" s="244" t="s">
        <v>196</v>
      </c>
      <c r="C74" s="244" t="s">
        <v>1674</v>
      </c>
      <c r="D74" s="244">
        <v>3838</v>
      </c>
    </row>
    <row r="75" spans="1:4" x14ac:dyDescent="0.25">
      <c r="A75" s="244" t="s">
        <v>197</v>
      </c>
      <c r="B75" s="244" t="s">
        <v>198</v>
      </c>
      <c r="C75" s="244" t="s">
        <v>1677</v>
      </c>
      <c r="D75" s="244">
        <v>4726.5</v>
      </c>
    </row>
    <row r="76" spans="1:4" x14ac:dyDescent="0.25">
      <c r="A76" s="244" t="s">
        <v>200</v>
      </c>
      <c r="B76" s="244" t="s">
        <v>201</v>
      </c>
      <c r="C76" s="244" t="s">
        <v>1919</v>
      </c>
      <c r="D76" s="244">
        <v>545</v>
      </c>
    </row>
    <row r="77" spans="1:4" x14ac:dyDescent="0.25">
      <c r="A77" s="244" t="s">
        <v>205</v>
      </c>
      <c r="B77" s="244" t="s">
        <v>206</v>
      </c>
      <c r="C77" s="244" t="s">
        <v>1046</v>
      </c>
      <c r="D77" s="244">
        <v>6067.5</v>
      </c>
    </row>
    <row r="78" spans="1:4" x14ac:dyDescent="0.25">
      <c r="A78" s="244" t="s">
        <v>207</v>
      </c>
      <c r="B78" s="244" t="s">
        <v>208</v>
      </c>
      <c r="C78" s="244" t="s">
        <v>1050</v>
      </c>
      <c r="D78" s="244">
        <v>8435</v>
      </c>
    </row>
    <row r="79" spans="1:4" x14ac:dyDescent="0.25">
      <c r="A79" s="244" t="s">
        <v>209</v>
      </c>
      <c r="B79" s="244" t="s">
        <v>210</v>
      </c>
      <c r="C79" s="244" t="s">
        <v>1044</v>
      </c>
      <c r="D79" s="244">
        <v>10322</v>
      </c>
    </row>
    <row r="80" spans="1:4" x14ac:dyDescent="0.25">
      <c r="A80" s="244" t="s">
        <v>212</v>
      </c>
      <c r="B80" s="244" t="s">
        <v>213</v>
      </c>
      <c r="C80" s="244" t="s">
        <v>1856</v>
      </c>
      <c r="D80" s="244">
        <v>953.5</v>
      </c>
    </row>
    <row r="81" spans="1:4" x14ac:dyDescent="0.25">
      <c r="A81" s="244" t="s">
        <v>214</v>
      </c>
      <c r="B81" s="244" t="s">
        <v>215</v>
      </c>
      <c r="C81" s="244" t="s">
        <v>1861</v>
      </c>
      <c r="D81" s="244">
        <v>1791.5</v>
      </c>
    </row>
    <row r="82" spans="1:4" x14ac:dyDescent="0.25">
      <c r="A82" s="244" t="s">
        <v>172</v>
      </c>
      <c r="B82" s="244" t="s">
        <v>173</v>
      </c>
      <c r="C82" s="244" t="s">
        <v>1185</v>
      </c>
      <c r="D82" s="244">
        <v>2554.5</v>
      </c>
    </row>
    <row r="83" spans="1:4" x14ac:dyDescent="0.25">
      <c r="A83" s="244" t="s">
        <v>219</v>
      </c>
      <c r="B83" s="244" t="s">
        <v>220</v>
      </c>
      <c r="C83" s="244" t="s">
        <v>1303</v>
      </c>
      <c r="D83" s="244">
        <v>2361.5</v>
      </c>
    </row>
    <row r="84" spans="1:4" x14ac:dyDescent="0.25">
      <c r="A84" s="244" t="s">
        <v>221</v>
      </c>
      <c r="B84" s="244" t="s">
        <v>222</v>
      </c>
      <c r="C84" s="244" t="s">
        <v>1309</v>
      </c>
      <c r="D84" s="244">
        <v>5829.5</v>
      </c>
    </row>
    <row r="85" spans="1:4" x14ac:dyDescent="0.25">
      <c r="A85" s="244" t="s">
        <v>223</v>
      </c>
      <c r="B85" s="244" t="s">
        <v>224</v>
      </c>
      <c r="C85" s="244" t="s">
        <v>1341</v>
      </c>
      <c r="D85" s="244">
        <v>350</v>
      </c>
    </row>
    <row r="86" spans="1:4" x14ac:dyDescent="0.25">
      <c r="A86" s="244" t="s">
        <v>225</v>
      </c>
      <c r="B86" s="244" t="s">
        <v>226</v>
      </c>
      <c r="C86" s="244" t="s">
        <v>1311</v>
      </c>
      <c r="D86" s="244">
        <v>13021.5</v>
      </c>
    </row>
    <row r="87" spans="1:4" x14ac:dyDescent="0.25">
      <c r="A87" s="244" t="s">
        <v>227</v>
      </c>
      <c r="B87" s="244" t="s">
        <v>228</v>
      </c>
      <c r="C87" s="244" t="s">
        <v>1317</v>
      </c>
      <c r="D87" s="244">
        <v>14843</v>
      </c>
    </row>
    <row r="88" spans="1:4" x14ac:dyDescent="0.25">
      <c r="A88" s="244" t="s">
        <v>229</v>
      </c>
      <c r="B88" s="244" t="s">
        <v>230</v>
      </c>
      <c r="C88" s="244" t="s">
        <v>1319</v>
      </c>
      <c r="D88" s="244">
        <v>71369</v>
      </c>
    </row>
    <row r="89" spans="1:4" x14ac:dyDescent="0.25">
      <c r="A89" s="244" t="s">
        <v>231</v>
      </c>
      <c r="B89" s="244" t="s">
        <v>232</v>
      </c>
      <c r="C89" s="244" t="s">
        <v>1321</v>
      </c>
      <c r="D89" s="244">
        <v>18139.5</v>
      </c>
    </row>
    <row r="90" spans="1:4" x14ac:dyDescent="0.25">
      <c r="A90" s="244" t="s">
        <v>233</v>
      </c>
      <c r="B90" s="244" t="s">
        <v>234</v>
      </c>
      <c r="C90" s="244" t="s">
        <v>1323</v>
      </c>
      <c r="D90" s="244">
        <v>21676.5</v>
      </c>
    </row>
    <row r="91" spans="1:4" x14ac:dyDescent="0.25">
      <c r="A91" s="244" t="s">
        <v>235</v>
      </c>
      <c r="B91" s="244" t="s">
        <v>236</v>
      </c>
      <c r="C91" s="244" t="s">
        <v>1327</v>
      </c>
      <c r="D91" s="244">
        <v>24607</v>
      </c>
    </row>
    <row r="92" spans="1:4" x14ac:dyDescent="0.25">
      <c r="A92" s="244" t="s">
        <v>237</v>
      </c>
      <c r="B92" s="244" t="s">
        <v>238</v>
      </c>
      <c r="C92" s="244" t="s">
        <v>1329</v>
      </c>
      <c r="D92" s="244">
        <v>27122</v>
      </c>
    </row>
    <row r="93" spans="1:4" x14ac:dyDescent="0.25">
      <c r="A93" s="244" t="s">
        <v>239</v>
      </c>
      <c r="B93" s="244" t="s">
        <v>240</v>
      </c>
      <c r="C93" s="244" t="s">
        <v>1331</v>
      </c>
      <c r="D93" s="244">
        <v>36203</v>
      </c>
    </row>
    <row r="94" spans="1:4" x14ac:dyDescent="0.25">
      <c r="A94" s="244" t="s">
        <v>241</v>
      </c>
      <c r="B94" s="244" t="s">
        <v>242</v>
      </c>
      <c r="C94" s="244" t="s">
        <v>1920</v>
      </c>
      <c r="D94" s="244">
        <v>675</v>
      </c>
    </row>
    <row r="95" spans="1:4" x14ac:dyDescent="0.25">
      <c r="A95" s="244" t="s">
        <v>244</v>
      </c>
      <c r="B95" s="244" t="s">
        <v>245</v>
      </c>
      <c r="C95" s="244" t="s">
        <v>1921</v>
      </c>
      <c r="D95" s="244">
        <v>2116</v>
      </c>
    </row>
    <row r="96" spans="1:4" x14ac:dyDescent="0.25">
      <c r="A96" s="244" t="s">
        <v>246</v>
      </c>
      <c r="B96" s="244" t="s">
        <v>247</v>
      </c>
      <c r="C96" s="244" t="s">
        <v>1880</v>
      </c>
      <c r="D96" s="244">
        <v>982.5</v>
      </c>
    </row>
    <row r="97" spans="1:4" x14ac:dyDescent="0.25">
      <c r="A97" s="244" t="s">
        <v>249</v>
      </c>
      <c r="B97" s="244" t="s">
        <v>250</v>
      </c>
      <c r="C97" s="244" t="s">
        <v>1910</v>
      </c>
      <c r="D97" s="244">
        <v>115.5</v>
      </c>
    </row>
    <row r="98" spans="1:4" x14ac:dyDescent="0.25">
      <c r="A98" s="244" t="s">
        <v>216</v>
      </c>
      <c r="B98" s="244" t="s">
        <v>217</v>
      </c>
      <c r="C98" s="244" t="s">
        <v>1863</v>
      </c>
      <c r="D98" s="244">
        <v>115.5</v>
      </c>
    </row>
    <row r="99" spans="1:4" x14ac:dyDescent="0.25">
      <c r="A99" s="244" t="s">
        <v>253</v>
      </c>
      <c r="B99" s="244" t="s">
        <v>254</v>
      </c>
      <c r="C99" s="244" t="s">
        <v>1922</v>
      </c>
      <c r="D99" s="244">
        <v>115.5</v>
      </c>
    </row>
    <row r="100" spans="1:4" x14ac:dyDescent="0.25">
      <c r="A100" s="244" t="s">
        <v>255</v>
      </c>
      <c r="B100" s="244" t="s">
        <v>256</v>
      </c>
      <c r="C100" s="244" t="s">
        <v>1923</v>
      </c>
      <c r="D100" s="244">
        <v>62.5</v>
      </c>
    </row>
    <row r="101" spans="1:4" x14ac:dyDescent="0.25">
      <c r="A101" s="244" t="s">
        <v>257</v>
      </c>
      <c r="B101" s="244" t="s">
        <v>258</v>
      </c>
      <c r="C101" s="244" t="s">
        <v>1907</v>
      </c>
      <c r="D101" s="244">
        <v>62.5</v>
      </c>
    </row>
    <row r="102" spans="1:4" x14ac:dyDescent="0.25">
      <c r="A102" s="244" t="s">
        <v>259</v>
      </c>
      <c r="B102" s="244" t="s">
        <v>260</v>
      </c>
      <c r="C102" s="244" t="s">
        <v>1914</v>
      </c>
      <c r="D102" s="244">
        <v>167</v>
      </c>
    </row>
    <row r="103" spans="1:4" x14ac:dyDescent="0.25">
      <c r="A103" s="244" t="s">
        <v>261</v>
      </c>
      <c r="B103" s="244" t="s">
        <v>262</v>
      </c>
      <c r="C103" s="244" t="s">
        <v>1925</v>
      </c>
      <c r="D103" s="244">
        <v>62.5</v>
      </c>
    </row>
    <row r="104" spans="1:4" x14ac:dyDescent="0.25">
      <c r="A104" s="244" t="s">
        <v>263</v>
      </c>
      <c r="B104" s="244" t="s">
        <v>264</v>
      </c>
      <c r="C104" s="244" t="s">
        <v>1924</v>
      </c>
      <c r="D104" s="244">
        <v>62.5</v>
      </c>
    </row>
    <row r="105" spans="1:4" x14ac:dyDescent="0.25">
      <c r="A105" s="244" t="s">
        <v>266</v>
      </c>
      <c r="B105" s="244" t="s">
        <v>267</v>
      </c>
      <c r="C105" s="244" t="s">
        <v>1768</v>
      </c>
      <c r="D105" s="244">
        <v>36.5</v>
      </c>
    </row>
    <row r="106" spans="1:4" x14ac:dyDescent="0.25">
      <c r="A106" s="244" t="s">
        <v>268</v>
      </c>
      <c r="B106" s="244" t="s">
        <v>269</v>
      </c>
      <c r="C106" s="244" t="s">
        <v>1771</v>
      </c>
      <c r="D106" s="244">
        <v>36.5</v>
      </c>
    </row>
    <row r="107" spans="1:4" x14ac:dyDescent="0.25">
      <c r="A107" s="244" t="s">
        <v>270</v>
      </c>
      <c r="B107" s="244" t="s">
        <v>271</v>
      </c>
      <c r="C107" s="244" t="s">
        <v>1766</v>
      </c>
      <c r="D107" s="244">
        <v>36.5</v>
      </c>
    </row>
    <row r="108" spans="1:4" x14ac:dyDescent="0.25">
      <c r="A108" s="244" t="s">
        <v>272</v>
      </c>
      <c r="B108" s="244" t="s">
        <v>273</v>
      </c>
      <c r="C108" s="244" t="s">
        <v>1852</v>
      </c>
      <c r="D108" s="244">
        <v>208.5</v>
      </c>
    </row>
    <row r="109" spans="1:4" x14ac:dyDescent="0.25">
      <c r="A109" s="244" t="s">
        <v>274</v>
      </c>
      <c r="B109" s="244" t="s">
        <v>275</v>
      </c>
      <c r="C109" s="244" t="s">
        <v>1810</v>
      </c>
      <c r="D109" s="244">
        <v>594.5</v>
      </c>
    </row>
    <row r="110" spans="1:4" x14ac:dyDescent="0.25">
      <c r="A110" s="244" t="s">
        <v>276</v>
      </c>
      <c r="B110" s="244" t="s">
        <v>277</v>
      </c>
      <c r="C110" s="244" t="s">
        <v>1829</v>
      </c>
      <c r="D110" s="244">
        <v>545.5</v>
      </c>
    </row>
    <row r="111" spans="1:4" x14ac:dyDescent="0.25">
      <c r="A111" s="244" t="s">
        <v>278</v>
      </c>
      <c r="B111" s="244" t="s">
        <v>279</v>
      </c>
      <c r="C111" s="244" t="s">
        <v>1670</v>
      </c>
      <c r="D111" s="244">
        <v>357</v>
      </c>
    </row>
    <row r="112" spans="1:4" x14ac:dyDescent="0.25">
      <c r="A112" s="244" t="s">
        <v>280</v>
      </c>
      <c r="B112" s="244" t="s">
        <v>281</v>
      </c>
      <c r="C112" s="244" t="s">
        <v>1663</v>
      </c>
      <c r="D112" s="244">
        <v>121.5</v>
      </c>
    </row>
    <row r="113" spans="1:4" x14ac:dyDescent="0.25">
      <c r="A113" s="244" t="s">
        <v>282</v>
      </c>
      <c r="B113" s="244" t="s">
        <v>283</v>
      </c>
      <c r="C113" s="244" t="s">
        <v>1672</v>
      </c>
      <c r="D113" s="244">
        <v>181.5</v>
      </c>
    </row>
    <row r="114" spans="1:4" x14ac:dyDescent="0.25">
      <c r="A114" s="244" t="s">
        <v>251</v>
      </c>
      <c r="B114" s="244" t="s">
        <v>252</v>
      </c>
      <c r="C114" s="244" t="s">
        <v>1912</v>
      </c>
      <c r="D114" s="244">
        <v>100</v>
      </c>
    </row>
    <row r="115" spans="1:4" x14ac:dyDescent="0.25">
      <c r="A115" s="244" t="s">
        <v>286</v>
      </c>
      <c r="B115" s="244" t="s">
        <v>287</v>
      </c>
      <c r="C115" s="244" t="s">
        <v>1846</v>
      </c>
      <c r="D115" s="244">
        <v>475</v>
      </c>
    </row>
    <row r="116" spans="1:4" x14ac:dyDescent="0.25">
      <c r="A116" s="244" t="s">
        <v>288</v>
      </c>
      <c r="B116" s="244" t="s">
        <v>289</v>
      </c>
      <c r="C116" s="244" t="s">
        <v>1900</v>
      </c>
      <c r="D116" s="244">
        <v>23</v>
      </c>
    </row>
    <row r="117" spans="1:4" x14ac:dyDescent="0.25">
      <c r="A117" s="244" t="s">
        <v>290</v>
      </c>
      <c r="B117" s="244" t="s">
        <v>291</v>
      </c>
      <c r="C117" s="244" t="s">
        <v>1854</v>
      </c>
      <c r="D117" s="244">
        <v>12.5</v>
      </c>
    </row>
    <row r="118" spans="1:4" x14ac:dyDescent="0.25">
      <c r="A118" s="244" t="s">
        <v>292</v>
      </c>
      <c r="B118" s="244" t="s">
        <v>293</v>
      </c>
      <c r="C118" s="244" t="s">
        <v>1011</v>
      </c>
      <c r="D118" s="244">
        <v>6105</v>
      </c>
    </row>
    <row r="119" spans="1:4" x14ac:dyDescent="0.25">
      <c r="A119" s="244" t="s">
        <v>294</v>
      </c>
      <c r="B119" s="244" t="s">
        <v>295</v>
      </c>
      <c r="C119" s="244" t="s">
        <v>1668</v>
      </c>
      <c r="D119" s="244">
        <v>285.5</v>
      </c>
    </row>
    <row r="120" spans="1:4" x14ac:dyDescent="0.25">
      <c r="A120" s="244" t="s">
        <v>296</v>
      </c>
      <c r="B120" s="244" t="s">
        <v>297</v>
      </c>
      <c r="C120" s="244" t="s">
        <v>1631</v>
      </c>
      <c r="D120" s="244">
        <v>29.5</v>
      </c>
    </row>
    <row r="121" spans="1:4" x14ac:dyDescent="0.25">
      <c r="A121" s="244" t="s">
        <v>298</v>
      </c>
      <c r="B121" s="244" t="s">
        <v>299</v>
      </c>
      <c r="C121" s="244" t="s">
        <v>1623</v>
      </c>
      <c r="D121" s="244">
        <v>826.5</v>
      </c>
    </row>
    <row r="122" spans="1:4" x14ac:dyDescent="0.25">
      <c r="A122" s="244" t="s">
        <v>300</v>
      </c>
      <c r="B122" s="244" t="s">
        <v>301</v>
      </c>
      <c r="C122" s="244" t="s">
        <v>1609</v>
      </c>
      <c r="D122" s="244">
        <v>1768.5</v>
      </c>
    </row>
    <row r="123" spans="1:4" x14ac:dyDescent="0.25">
      <c r="A123" s="244" t="s">
        <v>302</v>
      </c>
      <c r="B123" s="244" t="s">
        <v>303</v>
      </c>
      <c r="C123" s="244" t="s">
        <v>1722</v>
      </c>
      <c r="D123" s="244">
        <v>7.5</v>
      </c>
    </row>
    <row r="124" spans="1:4" x14ac:dyDescent="0.25">
      <c r="A124" s="244" t="s">
        <v>304</v>
      </c>
      <c r="B124" s="244" t="s">
        <v>305</v>
      </c>
      <c r="C124" s="244" t="s">
        <v>1545</v>
      </c>
      <c r="D124" s="244">
        <v>618.5</v>
      </c>
    </row>
    <row r="125" spans="1:4" x14ac:dyDescent="0.25">
      <c r="A125" s="244" t="s">
        <v>306</v>
      </c>
      <c r="B125" s="244" t="s">
        <v>307</v>
      </c>
      <c r="C125" s="244" t="s">
        <v>1878</v>
      </c>
      <c r="D125" s="244">
        <v>7.5</v>
      </c>
    </row>
    <row r="126" spans="1:4" x14ac:dyDescent="0.25">
      <c r="A126" s="244" t="s">
        <v>309</v>
      </c>
      <c r="B126" s="244" t="s">
        <v>310</v>
      </c>
      <c r="C126" s="244" t="s">
        <v>834</v>
      </c>
      <c r="D126" s="244">
        <v>6132.5</v>
      </c>
    </row>
    <row r="127" spans="1:4" x14ac:dyDescent="0.25">
      <c r="A127" s="244" t="s">
        <v>311</v>
      </c>
      <c r="B127" s="244" t="s">
        <v>312</v>
      </c>
      <c r="C127" s="244" t="s">
        <v>843</v>
      </c>
      <c r="D127" s="244">
        <v>6132.5</v>
      </c>
    </row>
    <row r="128" spans="1:4" x14ac:dyDescent="0.25">
      <c r="A128" s="244" t="s">
        <v>320</v>
      </c>
      <c r="B128" s="244" t="s">
        <v>321</v>
      </c>
      <c r="C128" s="245" t="s">
        <v>1313</v>
      </c>
      <c r="D128" s="244">
        <v>30712</v>
      </c>
    </row>
    <row r="129" spans="1:4" x14ac:dyDescent="0.25">
      <c r="A129" s="244" t="s">
        <v>322</v>
      </c>
      <c r="B129" s="244" t="s">
        <v>323</v>
      </c>
      <c r="C129" s="244" t="s">
        <v>1313</v>
      </c>
      <c r="D129" s="244">
        <v>30702.5</v>
      </c>
    </row>
    <row r="130" spans="1:4" x14ac:dyDescent="0.25">
      <c r="A130" s="244" t="s">
        <v>284</v>
      </c>
      <c r="B130" s="244" t="s">
        <v>285</v>
      </c>
      <c r="C130" s="244" t="s">
        <v>1658</v>
      </c>
      <c r="D130" s="244">
        <v>30741</v>
      </c>
    </row>
    <row r="131" spans="1:4" x14ac:dyDescent="0.25">
      <c r="A131" s="244" t="s">
        <v>326</v>
      </c>
      <c r="B131" s="244" t="s">
        <v>327</v>
      </c>
      <c r="C131" s="248" t="s">
        <v>1939</v>
      </c>
      <c r="D131" s="244">
        <v>30731.5</v>
      </c>
    </row>
    <row r="132" spans="1:4" x14ac:dyDescent="0.25">
      <c r="A132" s="244" t="s">
        <v>328</v>
      </c>
      <c r="B132" s="244" t="s">
        <v>329</v>
      </c>
      <c r="C132" s="248" t="s">
        <v>1954</v>
      </c>
      <c r="D132" s="244">
        <v>31998.5</v>
      </c>
    </row>
    <row r="133" spans="1:4" x14ac:dyDescent="0.25">
      <c r="A133" s="244" t="s">
        <v>330</v>
      </c>
      <c r="B133" s="244" t="s">
        <v>331</v>
      </c>
      <c r="C133" s="248" t="s">
        <v>1953</v>
      </c>
      <c r="D133" s="244">
        <v>31989</v>
      </c>
    </row>
    <row r="134" spans="1:4" x14ac:dyDescent="0.25">
      <c r="A134" s="244" t="s">
        <v>332</v>
      </c>
      <c r="B134" s="244" t="s">
        <v>333</v>
      </c>
      <c r="C134" s="248" t="s">
        <v>1942</v>
      </c>
      <c r="D134" s="244">
        <v>31979</v>
      </c>
    </row>
    <row r="135" spans="1:4" x14ac:dyDescent="0.25">
      <c r="A135" s="244" t="s">
        <v>334</v>
      </c>
      <c r="B135" s="244" t="s">
        <v>335</v>
      </c>
      <c r="C135" s="248" t="s">
        <v>1943</v>
      </c>
      <c r="D135" s="244">
        <v>31969.5</v>
      </c>
    </row>
    <row r="137" spans="1:4" x14ac:dyDescent="0.25">
      <c r="A137" s="247" t="s">
        <v>1932</v>
      </c>
      <c r="B137" s="244" t="s">
        <v>579</v>
      </c>
      <c r="C137" s="245" t="s">
        <v>1946</v>
      </c>
      <c r="D137" s="244">
        <v>1.5</v>
      </c>
    </row>
    <row r="138" spans="1:4" x14ac:dyDescent="0.25">
      <c r="A138" s="244" t="s">
        <v>1933</v>
      </c>
      <c r="B138" s="244" t="s">
        <v>1935</v>
      </c>
      <c r="C138" s="245" t="s">
        <v>1944</v>
      </c>
      <c r="D138" s="244">
        <v>1.5</v>
      </c>
    </row>
    <row r="139" spans="1:4" x14ac:dyDescent="0.25">
      <c r="A139" s="244" t="s">
        <v>1934</v>
      </c>
      <c r="B139" s="244" t="s">
        <v>1937</v>
      </c>
      <c r="C139" s="245" t="s">
        <v>1950</v>
      </c>
      <c r="D139" s="244">
        <v>214</v>
      </c>
    </row>
    <row r="140" spans="1:4" x14ac:dyDescent="0.25">
      <c r="A140" s="244" t="s">
        <v>1931</v>
      </c>
      <c r="B140" s="244" t="s">
        <v>1936</v>
      </c>
      <c r="C140" s="245" t="s">
        <v>1945</v>
      </c>
      <c r="D140" s="244">
        <v>21.5</v>
      </c>
    </row>
    <row r="142" spans="1:4" x14ac:dyDescent="0.25">
      <c r="A142" s="244" t="s">
        <v>1285</v>
      </c>
      <c r="B142" s="244" t="s">
        <v>1297</v>
      </c>
      <c r="C142" s="244" t="s">
        <v>1284</v>
      </c>
      <c r="D142" s="244">
        <v>31661</v>
      </c>
    </row>
    <row r="143" spans="1:4" x14ac:dyDescent="0.25">
      <c r="A143" s="244" t="s">
        <v>1300</v>
      </c>
      <c r="B143" s="244" t="s">
        <v>1297</v>
      </c>
      <c r="C143" s="244" t="s">
        <v>1299</v>
      </c>
      <c r="D143" s="244">
        <v>37215</v>
      </c>
    </row>
    <row r="144" spans="1:4" x14ac:dyDescent="0.25">
      <c r="A144" s="244" t="s">
        <v>1289</v>
      </c>
      <c r="B144" s="244" t="s">
        <v>1297</v>
      </c>
      <c r="C144" s="244" t="s">
        <v>1288</v>
      </c>
      <c r="D144" s="244">
        <v>45876</v>
      </c>
    </row>
    <row r="145" spans="1:4" x14ac:dyDescent="0.25">
      <c r="A145" s="244" t="s">
        <v>1292</v>
      </c>
      <c r="B145" s="246" t="s">
        <v>1291</v>
      </c>
      <c r="C145" s="244" t="s">
        <v>1290</v>
      </c>
      <c r="D145" s="244">
        <v>37506</v>
      </c>
    </row>
    <row r="146" spans="1:4" x14ac:dyDescent="0.25">
      <c r="A146" s="244" t="s">
        <v>324</v>
      </c>
      <c r="B146" s="244" t="s">
        <v>325</v>
      </c>
      <c r="C146" s="245" t="s">
        <v>1938</v>
      </c>
      <c r="D146" s="244">
        <v>54413</v>
      </c>
    </row>
    <row r="147" spans="1:4" x14ac:dyDescent="0.25">
      <c r="A147" s="244" t="s">
        <v>1298</v>
      </c>
      <c r="B147" s="244" t="s">
        <v>1297</v>
      </c>
      <c r="C147" s="246" t="s">
        <v>1297</v>
      </c>
      <c r="D147" s="244">
        <v>59433</v>
      </c>
    </row>
    <row r="149" spans="1:4" x14ac:dyDescent="0.25">
      <c r="A149" s="244" t="s">
        <v>1952</v>
      </c>
      <c r="B149" s="249" t="s">
        <v>412</v>
      </c>
      <c r="C149" s="249" t="s">
        <v>1250</v>
      </c>
      <c r="D149" s="244">
        <v>5593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7C806-D979-4FFB-A154-07635624C92E}">
  <dimension ref="A1:D149"/>
  <sheetViews>
    <sheetView topLeftCell="A84" zoomScale="115" zoomScaleNormal="115" workbookViewId="0">
      <selection activeCell="B99" sqref="B99"/>
    </sheetView>
  </sheetViews>
  <sheetFormatPr defaultColWidth="8.85546875" defaultRowHeight="15" x14ac:dyDescent="0.25"/>
  <cols>
    <col min="1" max="1" width="63.140625" style="244" bestFit="1" customWidth="1"/>
    <col min="2" max="2" width="19" style="244" bestFit="1" customWidth="1"/>
    <col min="3" max="3" width="19.85546875" style="244" bestFit="1" customWidth="1"/>
    <col min="4" max="4" width="9.28515625" style="244" customWidth="1"/>
    <col min="5" max="5" width="12.28515625" style="244" bestFit="1" customWidth="1"/>
    <col min="6" max="7" width="9" style="244" bestFit="1" customWidth="1"/>
    <col min="8" max="8" width="11.140625" style="244" bestFit="1" customWidth="1"/>
    <col min="9" max="16384" width="8.85546875" style="244"/>
  </cols>
  <sheetData>
    <row r="1" spans="1:4" x14ac:dyDescent="0.25">
      <c r="A1" s="244" t="s">
        <v>17</v>
      </c>
      <c r="B1" s="244" t="s">
        <v>18</v>
      </c>
      <c r="C1" s="244" t="s">
        <v>702</v>
      </c>
      <c r="D1" s="244">
        <v>2986.5</v>
      </c>
    </row>
    <row r="2" spans="1:4" x14ac:dyDescent="0.25">
      <c r="A2" s="244" t="s">
        <v>19</v>
      </c>
      <c r="B2" s="244" t="s">
        <v>20</v>
      </c>
      <c r="C2" s="244" t="s">
        <v>709</v>
      </c>
      <c r="D2" s="244">
        <v>2874.5</v>
      </c>
    </row>
    <row r="3" spans="1:4" x14ac:dyDescent="0.25">
      <c r="A3" s="244" t="s">
        <v>22</v>
      </c>
      <c r="B3" s="244" t="s">
        <v>23</v>
      </c>
      <c r="C3" s="244" t="s">
        <v>744</v>
      </c>
      <c r="D3" s="244">
        <v>3333</v>
      </c>
    </row>
    <row r="4" spans="1:4" x14ac:dyDescent="0.25">
      <c r="A4" s="244" t="s">
        <v>24</v>
      </c>
      <c r="B4" s="244" t="s">
        <v>25</v>
      </c>
      <c r="C4" s="244" t="s">
        <v>732</v>
      </c>
      <c r="D4" s="244">
        <v>2985.5</v>
      </c>
    </row>
    <row r="5" spans="1:4" x14ac:dyDescent="0.25">
      <c r="A5" s="244" t="s">
        <v>27</v>
      </c>
      <c r="B5" s="244" t="s">
        <v>28</v>
      </c>
      <c r="C5" s="244" t="s">
        <v>752</v>
      </c>
      <c r="D5" s="244">
        <v>1332.5</v>
      </c>
    </row>
    <row r="6" spans="1:4" x14ac:dyDescent="0.25">
      <c r="A6" s="244" t="s">
        <v>29</v>
      </c>
      <c r="B6" s="244" t="s">
        <v>30</v>
      </c>
      <c r="C6" s="244" t="s">
        <v>756</v>
      </c>
      <c r="D6" s="244">
        <v>1262.5</v>
      </c>
    </row>
    <row r="7" spans="1:4" x14ac:dyDescent="0.25">
      <c r="A7" s="244" t="s">
        <v>31</v>
      </c>
      <c r="B7" s="244" t="s">
        <v>32</v>
      </c>
      <c r="C7" s="244" t="s">
        <v>749</v>
      </c>
      <c r="D7" s="244">
        <v>1332.5</v>
      </c>
    </row>
    <row r="8" spans="1:4" x14ac:dyDescent="0.25">
      <c r="A8" s="244" t="s">
        <v>33</v>
      </c>
      <c r="B8" s="244" t="s">
        <v>34</v>
      </c>
      <c r="C8" s="244" t="s">
        <v>754</v>
      </c>
      <c r="D8" s="244">
        <v>1262.5</v>
      </c>
    </row>
    <row r="9" spans="1:4" x14ac:dyDescent="0.25">
      <c r="A9" s="244" t="s">
        <v>36</v>
      </c>
      <c r="B9" s="244" t="s">
        <v>37</v>
      </c>
      <c r="C9" s="244" t="s">
        <v>784</v>
      </c>
      <c r="D9" s="244">
        <v>1262.5</v>
      </c>
    </row>
    <row r="10" spans="1:4" x14ac:dyDescent="0.25">
      <c r="A10" s="244" t="s">
        <v>38</v>
      </c>
      <c r="B10" s="244" t="s">
        <v>39</v>
      </c>
      <c r="C10" s="244" t="s">
        <v>793</v>
      </c>
      <c r="D10" s="244">
        <v>2345</v>
      </c>
    </row>
    <row r="11" spans="1:4" x14ac:dyDescent="0.25">
      <c r="A11" s="244" t="s">
        <v>40</v>
      </c>
      <c r="B11" s="244" t="s">
        <v>41</v>
      </c>
      <c r="C11" s="244" t="s">
        <v>758</v>
      </c>
      <c r="D11" s="244">
        <v>1332.5</v>
      </c>
    </row>
    <row r="12" spans="1:4" x14ac:dyDescent="0.25">
      <c r="A12" s="244" t="s">
        <v>42</v>
      </c>
      <c r="B12" s="244" t="s">
        <v>43</v>
      </c>
      <c r="C12" s="244" t="s">
        <v>763</v>
      </c>
      <c r="D12" s="244">
        <v>1759</v>
      </c>
    </row>
    <row r="13" spans="1:4" x14ac:dyDescent="0.25">
      <c r="A13" s="244" t="s">
        <v>45</v>
      </c>
      <c r="B13" s="244" t="s">
        <v>46</v>
      </c>
      <c r="C13" s="244" t="s">
        <v>765</v>
      </c>
      <c r="D13" s="244">
        <v>2986.5</v>
      </c>
    </row>
    <row r="14" spans="1:4" x14ac:dyDescent="0.25">
      <c r="A14" s="244" t="s">
        <v>47</v>
      </c>
      <c r="B14" s="244" t="s">
        <v>48</v>
      </c>
      <c r="C14" s="244" t="s">
        <v>768</v>
      </c>
      <c r="D14" s="244">
        <v>1332.5</v>
      </c>
    </row>
    <row r="15" spans="1:4" x14ac:dyDescent="0.25">
      <c r="A15" s="244" t="s">
        <v>49</v>
      </c>
      <c r="B15" s="244" t="s">
        <v>50</v>
      </c>
      <c r="C15" s="244" t="s">
        <v>770</v>
      </c>
      <c r="D15" s="244">
        <v>1262.5</v>
      </c>
    </row>
    <row r="16" spans="1:4" x14ac:dyDescent="0.25">
      <c r="A16" s="244" t="s">
        <v>52</v>
      </c>
      <c r="B16" s="244" t="s">
        <v>53</v>
      </c>
      <c r="C16" s="244" t="s">
        <v>822</v>
      </c>
      <c r="D16" s="244">
        <v>2316.5</v>
      </c>
    </row>
    <row r="17" spans="1:4" x14ac:dyDescent="0.25">
      <c r="A17" s="244" t="s">
        <v>55</v>
      </c>
      <c r="B17" s="244" t="s">
        <v>56</v>
      </c>
      <c r="C17" s="244" t="s">
        <v>801</v>
      </c>
      <c r="D17" s="244">
        <v>1310</v>
      </c>
    </row>
    <row r="18" spans="1:4" x14ac:dyDescent="0.25">
      <c r="A18" s="244" t="s">
        <v>57</v>
      </c>
      <c r="B18" s="244" t="s">
        <v>58</v>
      </c>
      <c r="C18" s="244" t="s">
        <v>812</v>
      </c>
      <c r="D18" s="244">
        <v>1556.5</v>
      </c>
    </row>
    <row r="19" spans="1:4" x14ac:dyDescent="0.25">
      <c r="A19" s="244" t="s">
        <v>59</v>
      </c>
      <c r="B19" s="244" t="s">
        <v>60</v>
      </c>
      <c r="C19" s="244" t="s">
        <v>804</v>
      </c>
      <c r="D19" s="244">
        <v>1310</v>
      </c>
    </row>
    <row r="20" spans="1:4" x14ac:dyDescent="0.25">
      <c r="A20" s="244" t="s">
        <v>61</v>
      </c>
      <c r="B20" s="244" t="s">
        <v>62</v>
      </c>
      <c r="C20" s="244" t="s">
        <v>814</v>
      </c>
      <c r="D20" s="244">
        <v>1556.5</v>
      </c>
    </row>
    <row r="21" spans="1:4" x14ac:dyDescent="0.25">
      <c r="A21" s="244" t="s">
        <v>63</v>
      </c>
      <c r="B21" s="244" t="s">
        <v>64</v>
      </c>
      <c r="C21" s="244" t="s">
        <v>806</v>
      </c>
      <c r="D21" s="244">
        <v>1310</v>
      </c>
    </row>
    <row r="22" spans="1:4" x14ac:dyDescent="0.25">
      <c r="A22" s="244" t="s">
        <v>65</v>
      </c>
      <c r="B22" s="244" t="s">
        <v>66</v>
      </c>
      <c r="C22" s="244" t="s">
        <v>816</v>
      </c>
      <c r="D22" s="244">
        <v>1556.5</v>
      </c>
    </row>
    <row r="23" spans="1:4" x14ac:dyDescent="0.25">
      <c r="A23" s="244" t="s">
        <v>67</v>
      </c>
      <c r="B23" s="244" t="s">
        <v>68</v>
      </c>
      <c r="C23" s="244" t="s">
        <v>810</v>
      </c>
      <c r="D23" s="244">
        <v>1310</v>
      </c>
    </row>
    <row r="24" spans="1:4" x14ac:dyDescent="0.25">
      <c r="A24" s="244" t="s">
        <v>69</v>
      </c>
      <c r="B24" s="244" t="s">
        <v>70</v>
      </c>
      <c r="C24" s="244" t="s">
        <v>820</v>
      </c>
      <c r="D24" s="244">
        <v>1556.5</v>
      </c>
    </row>
    <row r="25" spans="1:4" x14ac:dyDescent="0.25">
      <c r="A25" s="244" t="s">
        <v>71</v>
      </c>
      <c r="B25" s="244" t="s">
        <v>72</v>
      </c>
      <c r="C25" s="244" t="s">
        <v>808</v>
      </c>
      <c r="D25" s="244">
        <v>1310</v>
      </c>
    </row>
    <row r="26" spans="1:4" x14ac:dyDescent="0.25">
      <c r="A26" s="244" t="s">
        <v>73</v>
      </c>
      <c r="B26" s="244" t="s">
        <v>74</v>
      </c>
      <c r="C26" s="244" t="s">
        <v>818</v>
      </c>
      <c r="D26" s="244">
        <v>1556.5</v>
      </c>
    </row>
    <row r="27" spans="1:4" x14ac:dyDescent="0.25">
      <c r="A27" s="244" t="s">
        <v>75</v>
      </c>
      <c r="B27" s="244" t="s">
        <v>76</v>
      </c>
      <c r="C27" s="244" t="s">
        <v>1870</v>
      </c>
      <c r="D27" s="244">
        <v>1310</v>
      </c>
    </row>
    <row r="28" spans="1:4" x14ac:dyDescent="0.25">
      <c r="A28" s="244" t="s">
        <v>77</v>
      </c>
      <c r="B28" s="244" t="s">
        <v>78</v>
      </c>
      <c r="C28" s="244" t="s">
        <v>1876</v>
      </c>
      <c r="D28" s="244">
        <v>1556.5</v>
      </c>
    </row>
    <row r="29" spans="1:4" x14ac:dyDescent="0.25">
      <c r="A29" s="244" t="s">
        <v>79</v>
      </c>
      <c r="B29" s="244" t="s">
        <v>80</v>
      </c>
      <c r="C29" s="244" t="s">
        <v>1865</v>
      </c>
      <c r="D29" s="244">
        <v>1310</v>
      </c>
    </row>
    <row r="30" spans="1:4" x14ac:dyDescent="0.25">
      <c r="A30" s="244" t="s">
        <v>81</v>
      </c>
      <c r="B30" s="244" t="s">
        <v>82</v>
      </c>
      <c r="C30" s="244" t="s">
        <v>1872</v>
      </c>
      <c r="D30" s="244">
        <v>1556.5</v>
      </c>
    </row>
    <row r="31" spans="1:4" x14ac:dyDescent="0.25">
      <c r="A31" s="244" t="s">
        <v>83</v>
      </c>
      <c r="B31" s="244" t="s">
        <v>84</v>
      </c>
      <c r="C31" s="244" t="s">
        <v>1868</v>
      </c>
      <c r="D31" s="244">
        <v>1310</v>
      </c>
    </row>
    <row r="32" spans="1:4" x14ac:dyDescent="0.25">
      <c r="A32" s="244" t="s">
        <v>85</v>
      </c>
      <c r="B32" s="244" t="s">
        <v>86</v>
      </c>
      <c r="C32" s="244" t="s">
        <v>1874</v>
      </c>
      <c r="D32" s="244">
        <v>1556.5</v>
      </c>
    </row>
    <row r="33" spans="1:4" x14ac:dyDescent="0.25">
      <c r="A33" s="244" t="s">
        <v>88</v>
      </c>
      <c r="B33" s="244" t="s">
        <v>89</v>
      </c>
      <c r="C33" s="244" t="s">
        <v>1799</v>
      </c>
      <c r="D33" s="244">
        <v>24</v>
      </c>
    </row>
    <row r="34" spans="1:4" x14ac:dyDescent="0.25">
      <c r="A34" s="244" t="s">
        <v>90</v>
      </c>
      <c r="B34" s="244" t="s">
        <v>91</v>
      </c>
      <c r="C34" s="244" t="s">
        <v>1837</v>
      </c>
      <c r="D34" s="244">
        <v>397</v>
      </c>
    </row>
    <row r="35" spans="1:4" x14ac:dyDescent="0.25">
      <c r="A35" s="244" t="s">
        <v>92</v>
      </c>
      <c r="B35" s="244" t="s">
        <v>93</v>
      </c>
      <c r="C35" s="244" t="s">
        <v>1840</v>
      </c>
      <c r="D35" s="244">
        <v>597</v>
      </c>
    </row>
    <row r="36" spans="1:4" x14ac:dyDescent="0.25">
      <c r="A36" s="244" t="s">
        <v>94</v>
      </c>
      <c r="B36" s="244" t="s">
        <v>95</v>
      </c>
      <c r="C36" s="244" t="s">
        <v>1843</v>
      </c>
      <c r="D36" s="244">
        <v>694</v>
      </c>
    </row>
    <row r="37" spans="1:4" x14ac:dyDescent="0.25">
      <c r="A37" s="244" t="s">
        <v>96</v>
      </c>
      <c r="B37" s="244" t="s">
        <v>97</v>
      </c>
      <c r="C37" s="244" t="s">
        <v>1417</v>
      </c>
      <c r="D37" s="244">
        <v>9.5</v>
      </c>
    </row>
    <row r="38" spans="1:4" x14ac:dyDescent="0.25">
      <c r="A38" s="244" t="s">
        <v>98</v>
      </c>
      <c r="B38" s="244" t="s">
        <v>99</v>
      </c>
      <c r="C38" s="244" t="s">
        <v>730</v>
      </c>
      <c r="D38" s="244">
        <v>24</v>
      </c>
    </row>
    <row r="39" spans="1:4" x14ac:dyDescent="0.25">
      <c r="A39" s="244" t="s">
        <v>100</v>
      </c>
      <c r="B39" s="244" t="s">
        <v>101</v>
      </c>
      <c r="C39" s="244" t="s">
        <v>726</v>
      </c>
      <c r="D39" s="244">
        <v>18.5</v>
      </c>
    </row>
    <row r="40" spans="1:4" x14ac:dyDescent="0.25">
      <c r="A40" s="244" t="s">
        <v>105</v>
      </c>
      <c r="B40" s="244" t="s">
        <v>106</v>
      </c>
      <c r="C40" s="244" t="s">
        <v>876</v>
      </c>
      <c r="D40" s="244">
        <v>45814</v>
      </c>
    </row>
    <row r="41" spans="1:4" x14ac:dyDescent="0.25">
      <c r="A41" s="244" t="s">
        <v>107</v>
      </c>
      <c r="B41" s="244" t="s">
        <v>108</v>
      </c>
      <c r="C41" s="244" t="s">
        <v>871</v>
      </c>
      <c r="D41" s="244">
        <v>46009</v>
      </c>
    </row>
    <row r="42" spans="1:4" x14ac:dyDescent="0.25">
      <c r="A42" s="244" t="s">
        <v>110</v>
      </c>
      <c r="B42" s="244" t="s">
        <v>111</v>
      </c>
      <c r="C42" s="244" t="s">
        <v>931</v>
      </c>
      <c r="D42" s="244">
        <v>48221</v>
      </c>
    </row>
    <row r="43" spans="1:4" x14ac:dyDescent="0.25">
      <c r="A43" s="244" t="s">
        <v>112</v>
      </c>
      <c r="B43" s="244" t="s">
        <v>113</v>
      </c>
      <c r="C43" s="244" t="s">
        <v>925</v>
      </c>
      <c r="D43" s="244">
        <v>48227</v>
      </c>
    </row>
    <row r="44" spans="1:4" x14ac:dyDescent="0.25">
      <c r="A44" s="244" t="s">
        <v>116</v>
      </c>
      <c r="B44" s="244" t="s">
        <v>117</v>
      </c>
      <c r="C44" s="244" t="s">
        <v>878</v>
      </c>
      <c r="D44" s="244">
        <v>32241.5</v>
      </c>
    </row>
    <row r="45" spans="1:4" x14ac:dyDescent="0.25">
      <c r="A45" s="244" t="s">
        <v>118</v>
      </c>
      <c r="B45" s="244" t="s">
        <v>119</v>
      </c>
      <c r="C45" s="244" t="s">
        <v>873</v>
      </c>
      <c r="D45" s="244">
        <v>34563</v>
      </c>
    </row>
    <row r="46" spans="1:4" x14ac:dyDescent="0.25">
      <c r="A46" s="244" t="s">
        <v>120</v>
      </c>
      <c r="B46" s="244" t="s">
        <v>121</v>
      </c>
      <c r="C46" s="244" t="s">
        <v>933</v>
      </c>
      <c r="D46" s="244">
        <v>34460</v>
      </c>
    </row>
    <row r="47" spans="1:4" x14ac:dyDescent="0.25">
      <c r="A47" s="244" t="s">
        <v>122</v>
      </c>
      <c r="B47" s="244" t="s">
        <v>123</v>
      </c>
      <c r="C47" s="244" t="s">
        <v>928</v>
      </c>
      <c r="D47" s="244">
        <v>35589.5</v>
      </c>
    </row>
    <row r="48" spans="1:4" x14ac:dyDescent="0.25">
      <c r="A48" s="244" t="s">
        <v>126</v>
      </c>
      <c r="B48" s="244" t="s">
        <v>456</v>
      </c>
      <c r="C48" s="244" t="s">
        <v>935</v>
      </c>
      <c r="D48" s="244">
        <v>24236.5</v>
      </c>
    </row>
    <row r="49" spans="1:4" x14ac:dyDescent="0.25">
      <c r="A49" s="244" t="s">
        <v>128</v>
      </c>
      <c r="B49" s="244" t="s">
        <v>129</v>
      </c>
      <c r="C49" s="244" t="s">
        <v>986</v>
      </c>
      <c r="D49" s="244">
        <v>27887.5</v>
      </c>
    </row>
    <row r="50" spans="1:4" x14ac:dyDescent="0.25">
      <c r="A50" s="244" t="s">
        <v>131</v>
      </c>
      <c r="B50" s="244" t="s">
        <v>132</v>
      </c>
      <c r="C50" s="244" t="s">
        <v>1720</v>
      </c>
      <c r="D50" s="244">
        <v>1950.5</v>
      </c>
    </row>
    <row r="51" spans="1:4" x14ac:dyDescent="0.25">
      <c r="A51" s="244" t="s">
        <v>133</v>
      </c>
      <c r="B51" s="244" t="s">
        <v>134</v>
      </c>
      <c r="C51" s="244" t="s">
        <v>1727</v>
      </c>
      <c r="D51" s="244">
        <v>4599</v>
      </c>
    </row>
    <row r="52" spans="1:4" x14ac:dyDescent="0.25">
      <c r="A52" s="244" t="s">
        <v>136</v>
      </c>
      <c r="B52" s="244" t="s">
        <v>137</v>
      </c>
      <c r="C52" s="244" t="s">
        <v>1926</v>
      </c>
      <c r="D52" s="244">
        <v>58.5</v>
      </c>
    </row>
    <row r="53" spans="1:4" x14ac:dyDescent="0.25">
      <c r="A53" s="244" t="s">
        <v>138</v>
      </c>
      <c r="B53" s="244" t="s">
        <v>139</v>
      </c>
      <c r="C53" s="244" t="s">
        <v>1927</v>
      </c>
      <c r="D53" s="244">
        <v>58.5</v>
      </c>
    </row>
    <row r="54" spans="1:4" x14ac:dyDescent="0.25">
      <c r="A54" s="244" t="s">
        <v>140</v>
      </c>
      <c r="B54" s="244" t="s">
        <v>141</v>
      </c>
      <c r="C54" s="244" t="s">
        <v>1928</v>
      </c>
      <c r="D54" s="244">
        <v>58.5</v>
      </c>
    </row>
    <row r="55" spans="1:4" x14ac:dyDescent="0.25">
      <c r="A55" s="244" t="s">
        <v>143</v>
      </c>
      <c r="B55" s="244" t="s">
        <v>144</v>
      </c>
      <c r="C55" s="244" t="s">
        <v>1929</v>
      </c>
      <c r="D55" s="244">
        <v>58.5</v>
      </c>
    </row>
    <row r="56" spans="1:4" x14ac:dyDescent="0.25">
      <c r="A56" s="244" t="s">
        <v>145</v>
      </c>
      <c r="B56" s="244" t="s">
        <v>146</v>
      </c>
      <c r="C56" s="244" t="s">
        <v>1930</v>
      </c>
      <c r="D56" s="244">
        <v>58.5</v>
      </c>
    </row>
    <row r="57" spans="1:4" x14ac:dyDescent="0.25">
      <c r="A57" s="244" t="s">
        <v>150</v>
      </c>
      <c r="B57" s="244" t="s">
        <v>151</v>
      </c>
      <c r="C57" s="244" t="s">
        <v>980</v>
      </c>
      <c r="D57" s="244">
        <v>6529</v>
      </c>
    </row>
    <row r="58" spans="1:4" x14ac:dyDescent="0.25">
      <c r="A58" s="244" t="s">
        <v>152</v>
      </c>
      <c r="B58" s="244" t="s">
        <v>153</v>
      </c>
      <c r="C58" s="244" t="s">
        <v>997</v>
      </c>
      <c r="D58" s="244">
        <v>6728.5</v>
      </c>
    </row>
    <row r="59" spans="1:4" x14ac:dyDescent="0.25">
      <c r="A59" s="244" t="s">
        <v>155</v>
      </c>
      <c r="B59" s="244" t="s">
        <v>156</v>
      </c>
      <c r="C59" s="244" t="s">
        <v>1086</v>
      </c>
      <c r="D59" s="244">
        <v>6096.5</v>
      </c>
    </row>
    <row r="60" spans="1:4" x14ac:dyDescent="0.25">
      <c r="A60" s="244" t="s">
        <v>157</v>
      </c>
      <c r="B60" s="244" t="s">
        <v>158</v>
      </c>
      <c r="C60" s="244" t="s">
        <v>1089</v>
      </c>
      <c r="D60" s="244">
        <v>2447.5</v>
      </c>
    </row>
    <row r="61" spans="1:4" x14ac:dyDescent="0.25">
      <c r="A61" s="244" t="s">
        <v>162</v>
      </c>
      <c r="B61" s="244" t="s">
        <v>163</v>
      </c>
      <c r="C61" s="244" t="s">
        <v>1078</v>
      </c>
      <c r="D61" s="244">
        <v>6775</v>
      </c>
    </row>
    <row r="62" spans="1:4" x14ac:dyDescent="0.25">
      <c r="A62" s="244" t="s">
        <v>164</v>
      </c>
      <c r="B62" s="244" t="s">
        <v>165</v>
      </c>
      <c r="C62" s="244" t="s">
        <v>1023</v>
      </c>
      <c r="D62" s="244">
        <v>1604</v>
      </c>
    </row>
    <row r="63" spans="1:4" x14ac:dyDescent="0.25">
      <c r="A63" s="244" t="s">
        <v>166</v>
      </c>
      <c r="B63" s="244" t="s">
        <v>167</v>
      </c>
      <c r="C63" s="244" t="s">
        <v>1106</v>
      </c>
      <c r="D63" s="244">
        <v>2497</v>
      </c>
    </row>
    <row r="64" spans="1:4" x14ac:dyDescent="0.25">
      <c r="A64" s="244" t="s">
        <v>168</v>
      </c>
      <c r="B64" s="244" t="s">
        <v>169</v>
      </c>
      <c r="C64" s="244" t="s">
        <v>1206</v>
      </c>
      <c r="D64" s="244">
        <v>3154.5</v>
      </c>
    </row>
    <row r="65" spans="1:4" x14ac:dyDescent="0.25">
      <c r="A65" s="244" t="s">
        <v>170</v>
      </c>
      <c r="B65" s="244" t="s">
        <v>171</v>
      </c>
      <c r="C65" s="245" t="s">
        <v>1951</v>
      </c>
      <c r="D65" s="244">
        <v>763.5</v>
      </c>
    </row>
    <row r="66" spans="1:4" x14ac:dyDescent="0.25">
      <c r="A66" s="244" t="s">
        <v>172</v>
      </c>
      <c r="B66" s="244" t="s">
        <v>173</v>
      </c>
      <c r="C66" s="244" t="s">
        <v>1185</v>
      </c>
      <c r="D66" s="244">
        <v>158.5</v>
      </c>
    </row>
    <row r="67" spans="1:4" x14ac:dyDescent="0.25">
      <c r="A67" s="244" t="s">
        <v>174</v>
      </c>
      <c r="B67" s="244" t="s">
        <v>175</v>
      </c>
      <c r="C67" s="244" t="s">
        <v>1183</v>
      </c>
      <c r="D67" s="244">
        <v>134.5</v>
      </c>
    </row>
    <row r="68" spans="1:4" x14ac:dyDescent="0.25">
      <c r="A68" s="244" t="s">
        <v>176</v>
      </c>
      <c r="B68" s="244" t="s">
        <v>177</v>
      </c>
      <c r="C68" s="244" t="s">
        <v>1116</v>
      </c>
      <c r="D68" s="244">
        <v>802.5</v>
      </c>
    </row>
    <row r="69" spans="1:4" x14ac:dyDescent="0.25">
      <c r="A69" s="244" t="s">
        <v>178</v>
      </c>
      <c r="B69" s="244" t="s">
        <v>179</v>
      </c>
      <c r="C69" s="244" t="s">
        <v>1014</v>
      </c>
      <c r="D69" s="244">
        <v>802.5</v>
      </c>
    </row>
    <row r="70" spans="1:4" x14ac:dyDescent="0.25">
      <c r="A70" s="244" t="s">
        <v>180</v>
      </c>
      <c r="B70" s="244" t="s">
        <v>181</v>
      </c>
      <c r="C70" s="244" t="s">
        <v>1019</v>
      </c>
      <c r="D70" s="244">
        <v>6846.5</v>
      </c>
    </row>
    <row r="71" spans="1:4" x14ac:dyDescent="0.25">
      <c r="A71" s="244" t="s">
        <v>188</v>
      </c>
      <c r="B71" s="244" t="s">
        <v>189</v>
      </c>
      <c r="C71" s="244" t="s">
        <v>1098</v>
      </c>
      <c r="D71" s="244">
        <v>2031</v>
      </c>
    </row>
    <row r="72" spans="1:4" x14ac:dyDescent="0.25">
      <c r="A72" s="244" t="s">
        <v>190</v>
      </c>
      <c r="B72" s="244" t="s">
        <v>191</v>
      </c>
      <c r="C72" s="244" t="s">
        <v>1104</v>
      </c>
      <c r="D72" s="244">
        <v>3013.5</v>
      </c>
    </row>
    <row r="73" spans="1:4" x14ac:dyDescent="0.25">
      <c r="A73" s="244" t="s">
        <v>192</v>
      </c>
      <c r="B73" s="244" t="s">
        <v>193</v>
      </c>
      <c r="C73" s="244" t="s">
        <v>1091</v>
      </c>
      <c r="D73" s="244">
        <v>3456.5</v>
      </c>
    </row>
    <row r="74" spans="1:4" x14ac:dyDescent="0.25">
      <c r="A74" s="244" t="s">
        <v>195</v>
      </c>
      <c r="B74" s="244" t="s">
        <v>196</v>
      </c>
      <c r="C74" s="244" t="s">
        <v>1674</v>
      </c>
      <c r="D74" s="244">
        <v>3603.5</v>
      </c>
    </row>
    <row r="75" spans="1:4" x14ac:dyDescent="0.25">
      <c r="A75" s="244" t="s">
        <v>197</v>
      </c>
      <c r="B75" s="244" t="s">
        <v>198</v>
      </c>
      <c r="C75" s="244" t="s">
        <v>1677</v>
      </c>
      <c r="D75" s="244">
        <v>4438</v>
      </c>
    </row>
    <row r="76" spans="1:4" x14ac:dyDescent="0.25">
      <c r="A76" s="244" t="s">
        <v>200</v>
      </c>
      <c r="B76" s="244" t="s">
        <v>201</v>
      </c>
      <c r="C76" s="244" t="s">
        <v>1919</v>
      </c>
      <c r="D76" s="244">
        <v>511.5</v>
      </c>
    </row>
    <row r="77" spans="1:4" x14ac:dyDescent="0.25">
      <c r="A77" s="244" t="s">
        <v>205</v>
      </c>
      <c r="B77" s="244" t="s">
        <v>206</v>
      </c>
      <c r="C77" s="244" t="s">
        <v>1046</v>
      </c>
      <c r="D77" s="244">
        <v>5697</v>
      </c>
    </row>
    <row r="78" spans="1:4" x14ac:dyDescent="0.25">
      <c r="A78" s="244" t="s">
        <v>207</v>
      </c>
      <c r="B78" s="244" t="s">
        <v>208</v>
      </c>
      <c r="C78" s="244" t="s">
        <v>1050</v>
      </c>
      <c r="D78" s="244">
        <v>7920</v>
      </c>
    </row>
    <row r="79" spans="1:4" x14ac:dyDescent="0.25">
      <c r="A79" s="244" t="s">
        <v>209</v>
      </c>
      <c r="B79" s="244" t="s">
        <v>210</v>
      </c>
      <c r="C79" s="244" t="s">
        <v>1044</v>
      </c>
      <c r="D79" s="244">
        <v>9692</v>
      </c>
    </row>
    <row r="80" spans="1:4" x14ac:dyDescent="0.25">
      <c r="A80" s="244" t="s">
        <v>212</v>
      </c>
      <c r="B80" s="244" t="s">
        <v>213</v>
      </c>
      <c r="C80" s="244" t="s">
        <v>1856</v>
      </c>
      <c r="D80" s="244">
        <v>895</v>
      </c>
    </row>
    <row r="81" spans="1:4" x14ac:dyDescent="0.25">
      <c r="A81" s="244" t="s">
        <v>214</v>
      </c>
      <c r="B81" s="244" t="s">
        <v>215</v>
      </c>
      <c r="C81" s="244" t="s">
        <v>1861</v>
      </c>
      <c r="D81" s="244">
        <v>1682</v>
      </c>
    </row>
    <row r="82" spans="1:4" x14ac:dyDescent="0.25">
      <c r="A82" s="244" t="s">
        <v>216</v>
      </c>
      <c r="B82" s="244" t="s">
        <v>217</v>
      </c>
      <c r="C82" s="244" t="s">
        <v>1863</v>
      </c>
      <c r="D82" s="244">
        <v>2398.5</v>
      </c>
    </row>
    <row r="83" spans="1:4" x14ac:dyDescent="0.25">
      <c r="A83" s="244" t="s">
        <v>219</v>
      </c>
      <c r="B83" s="244" t="s">
        <v>220</v>
      </c>
      <c r="C83" s="244" t="s">
        <v>1303</v>
      </c>
      <c r="D83" s="244">
        <v>2217</v>
      </c>
    </row>
    <row r="84" spans="1:4" x14ac:dyDescent="0.25">
      <c r="A84" s="244" t="s">
        <v>221</v>
      </c>
      <c r="B84" s="244" t="s">
        <v>222</v>
      </c>
      <c r="C84" s="244" t="s">
        <v>1309</v>
      </c>
      <c r="D84" s="244">
        <v>5473.5</v>
      </c>
    </row>
    <row r="85" spans="1:4" x14ac:dyDescent="0.25">
      <c r="A85" s="244" t="s">
        <v>223</v>
      </c>
      <c r="B85" s="244" t="s">
        <v>224</v>
      </c>
      <c r="C85" s="244" t="s">
        <v>1341</v>
      </c>
      <c r="D85" s="244">
        <v>328.5</v>
      </c>
    </row>
    <row r="86" spans="1:4" x14ac:dyDescent="0.25">
      <c r="A86" s="244" t="s">
        <v>225</v>
      </c>
      <c r="B86" s="244" t="s">
        <v>226</v>
      </c>
      <c r="C86" s="244" t="s">
        <v>1311</v>
      </c>
      <c r="D86" s="244">
        <v>12226.5</v>
      </c>
    </row>
    <row r="87" spans="1:4" x14ac:dyDescent="0.25">
      <c r="A87" s="244" t="s">
        <v>227</v>
      </c>
      <c r="B87" s="244" t="s">
        <v>228</v>
      </c>
      <c r="C87" s="244" t="s">
        <v>1317</v>
      </c>
      <c r="D87" s="244">
        <v>13937</v>
      </c>
    </row>
    <row r="88" spans="1:4" x14ac:dyDescent="0.25">
      <c r="A88" s="244" t="s">
        <v>229</v>
      </c>
      <c r="B88" s="244" t="s">
        <v>230</v>
      </c>
      <c r="C88" s="244" t="s">
        <v>1319</v>
      </c>
      <c r="D88" s="244">
        <v>67013</v>
      </c>
    </row>
    <row r="89" spans="1:4" x14ac:dyDescent="0.25">
      <c r="A89" s="244" t="s">
        <v>231</v>
      </c>
      <c r="B89" s="244" t="s">
        <v>232</v>
      </c>
      <c r="C89" s="244" t="s">
        <v>1321</v>
      </c>
      <c r="D89" s="244">
        <v>17032</v>
      </c>
    </row>
    <row r="90" spans="1:4" x14ac:dyDescent="0.25">
      <c r="A90" s="244" t="s">
        <v>233</v>
      </c>
      <c r="B90" s="244" t="s">
        <v>234</v>
      </c>
      <c r="C90" s="244" t="s">
        <v>1323</v>
      </c>
      <c r="D90" s="244">
        <v>20353.5</v>
      </c>
    </row>
    <row r="91" spans="1:4" x14ac:dyDescent="0.25">
      <c r="A91" s="244" t="s">
        <v>235</v>
      </c>
      <c r="B91" s="244" t="s">
        <v>236</v>
      </c>
      <c r="C91" s="244" t="s">
        <v>1327</v>
      </c>
      <c r="D91" s="244">
        <v>23105</v>
      </c>
    </row>
    <row r="92" spans="1:4" x14ac:dyDescent="0.25">
      <c r="A92" s="244" t="s">
        <v>237</v>
      </c>
      <c r="B92" s="244" t="s">
        <v>238</v>
      </c>
      <c r="C92" s="244" t="s">
        <v>1329</v>
      </c>
      <c r="D92" s="244">
        <v>25466.5</v>
      </c>
    </row>
    <row r="93" spans="1:4" x14ac:dyDescent="0.25">
      <c r="A93" s="244" t="s">
        <v>239</v>
      </c>
      <c r="B93" s="244" t="s">
        <v>240</v>
      </c>
      <c r="C93" s="244" t="s">
        <v>1331</v>
      </c>
      <c r="D93" s="244">
        <v>33993</v>
      </c>
    </row>
    <row r="94" spans="1:4" x14ac:dyDescent="0.25">
      <c r="A94" s="244" t="s">
        <v>241</v>
      </c>
      <c r="B94" s="244" t="s">
        <v>242</v>
      </c>
      <c r="C94" s="244" t="s">
        <v>1920</v>
      </c>
      <c r="D94" s="244">
        <v>633.5</v>
      </c>
    </row>
    <row r="95" spans="1:4" x14ac:dyDescent="0.25">
      <c r="A95" s="244" t="s">
        <v>244</v>
      </c>
      <c r="B95" s="244" t="s">
        <v>245</v>
      </c>
      <c r="C95" s="244" t="s">
        <v>1921</v>
      </c>
      <c r="D95" s="244">
        <v>1986.5</v>
      </c>
    </row>
    <row r="96" spans="1:4" x14ac:dyDescent="0.25">
      <c r="A96" s="244" t="s">
        <v>246</v>
      </c>
      <c r="B96" s="244" t="s">
        <v>247</v>
      </c>
      <c r="C96" s="244" t="s">
        <v>1880</v>
      </c>
      <c r="D96" s="244">
        <v>922.5</v>
      </c>
    </row>
    <row r="97" spans="1:4" x14ac:dyDescent="0.25">
      <c r="A97" s="244" t="s">
        <v>249</v>
      </c>
      <c r="B97" s="244" t="s">
        <v>250</v>
      </c>
      <c r="C97" s="244" t="s">
        <v>1910</v>
      </c>
      <c r="D97" s="244">
        <v>108</v>
      </c>
    </row>
    <row r="98" spans="1:4" x14ac:dyDescent="0.25">
      <c r="A98" s="244" t="s">
        <v>251</v>
      </c>
      <c r="B98" s="244" t="s">
        <v>252</v>
      </c>
      <c r="C98" s="244" t="s">
        <v>1912</v>
      </c>
      <c r="D98" s="244">
        <v>108</v>
      </c>
    </row>
    <row r="99" spans="1:4" x14ac:dyDescent="0.25">
      <c r="A99" s="244" t="s">
        <v>253</v>
      </c>
      <c r="B99" s="244" t="s">
        <v>254</v>
      </c>
      <c r="C99" s="244" t="s">
        <v>1922</v>
      </c>
      <c r="D99" s="244">
        <v>108</v>
      </c>
    </row>
    <row r="100" spans="1:4" x14ac:dyDescent="0.25">
      <c r="A100" s="244" t="s">
        <v>255</v>
      </c>
      <c r="B100" s="244" t="s">
        <v>256</v>
      </c>
      <c r="C100" s="244" t="s">
        <v>1923</v>
      </c>
      <c r="D100" s="244">
        <v>58.5</v>
      </c>
    </row>
    <row r="101" spans="1:4" x14ac:dyDescent="0.25">
      <c r="A101" s="244" t="s">
        <v>257</v>
      </c>
      <c r="B101" s="244" t="s">
        <v>258</v>
      </c>
      <c r="C101" s="244" t="s">
        <v>1907</v>
      </c>
      <c r="D101" s="244">
        <v>58.5</v>
      </c>
    </row>
    <row r="102" spans="1:4" x14ac:dyDescent="0.25">
      <c r="A102" s="244" t="s">
        <v>259</v>
      </c>
      <c r="B102" s="244" t="s">
        <v>260</v>
      </c>
      <c r="C102" s="244" t="s">
        <v>1914</v>
      </c>
      <c r="D102" s="244">
        <v>156.5</v>
      </c>
    </row>
    <row r="103" spans="1:4" x14ac:dyDescent="0.25">
      <c r="A103" s="244" t="s">
        <v>261</v>
      </c>
      <c r="B103" s="244" t="s">
        <v>262</v>
      </c>
      <c r="C103" s="244" t="s">
        <v>1925</v>
      </c>
      <c r="D103" s="244">
        <v>58.5</v>
      </c>
    </row>
    <row r="104" spans="1:4" x14ac:dyDescent="0.25">
      <c r="A104" s="244" t="s">
        <v>263</v>
      </c>
      <c r="B104" s="244" t="s">
        <v>264</v>
      </c>
      <c r="C104" s="244" t="s">
        <v>1924</v>
      </c>
      <c r="D104" s="244">
        <v>58.5</v>
      </c>
    </row>
    <row r="105" spans="1:4" x14ac:dyDescent="0.25">
      <c r="A105" s="244" t="s">
        <v>266</v>
      </c>
      <c r="B105" s="244" t="s">
        <v>267</v>
      </c>
      <c r="C105" s="244" t="s">
        <v>1768</v>
      </c>
      <c r="D105" s="244">
        <v>34</v>
      </c>
    </row>
    <row r="106" spans="1:4" x14ac:dyDescent="0.25">
      <c r="A106" s="244" t="s">
        <v>268</v>
      </c>
      <c r="B106" s="244" t="s">
        <v>269</v>
      </c>
      <c r="C106" s="244" t="s">
        <v>1771</v>
      </c>
      <c r="D106" s="244">
        <v>34</v>
      </c>
    </row>
    <row r="107" spans="1:4" x14ac:dyDescent="0.25">
      <c r="A107" s="244" t="s">
        <v>270</v>
      </c>
      <c r="B107" s="244" t="s">
        <v>271</v>
      </c>
      <c r="C107" s="244" t="s">
        <v>1766</v>
      </c>
      <c r="D107" s="244">
        <v>34</v>
      </c>
    </row>
    <row r="108" spans="1:4" x14ac:dyDescent="0.25">
      <c r="A108" s="244" t="s">
        <v>272</v>
      </c>
      <c r="B108" s="244" t="s">
        <v>273</v>
      </c>
      <c r="C108" s="244" t="s">
        <v>1852</v>
      </c>
      <c r="D108" s="244">
        <v>195.5</v>
      </c>
    </row>
    <row r="109" spans="1:4" x14ac:dyDescent="0.25">
      <c r="A109" s="244" t="s">
        <v>274</v>
      </c>
      <c r="B109" s="244" t="s">
        <v>275</v>
      </c>
      <c r="C109" s="244" t="s">
        <v>1810</v>
      </c>
      <c r="D109" s="244">
        <v>558</v>
      </c>
    </row>
    <row r="110" spans="1:4" x14ac:dyDescent="0.25">
      <c r="A110" s="244" t="s">
        <v>276</v>
      </c>
      <c r="B110" s="244" t="s">
        <v>277</v>
      </c>
      <c r="C110" s="244" t="s">
        <v>1829</v>
      </c>
      <c r="D110" s="244">
        <v>512</v>
      </c>
    </row>
    <row r="111" spans="1:4" x14ac:dyDescent="0.25">
      <c r="A111" s="244" t="s">
        <v>278</v>
      </c>
      <c r="B111" s="244" t="s">
        <v>279</v>
      </c>
      <c r="C111" s="244" t="s">
        <v>1670</v>
      </c>
      <c r="D111" s="244">
        <v>335</v>
      </c>
    </row>
    <row r="112" spans="1:4" x14ac:dyDescent="0.25">
      <c r="A112" s="244" t="s">
        <v>280</v>
      </c>
      <c r="B112" s="244" t="s">
        <v>281</v>
      </c>
      <c r="C112" s="244" t="s">
        <v>1663</v>
      </c>
      <c r="D112" s="244">
        <v>114</v>
      </c>
    </row>
    <row r="113" spans="1:4" x14ac:dyDescent="0.25">
      <c r="A113" s="244" t="s">
        <v>282</v>
      </c>
      <c r="B113" s="244" t="s">
        <v>283</v>
      </c>
      <c r="C113" s="244" t="s">
        <v>1672</v>
      </c>
      <c r="D113" s="244">
        <v>170</v>
      </c>
    </row>
    <row r="114" spans="1:4" x14ac:dyDescent="0.25">
      <c r="A114" s="244" t="s">
        <v>284</v>
      </c>
      <c r="B114" s="244" t="s">
        <v>285</v>
      </c>
      <c r="C114" s="244" t="s">
        <v>1658</v>
      </c>
      <c r="D114" s="244">
        <v>93.5</v>
      </c>
    </row>
    <row r="115" spans="1:4" x14ac:dyDescent="0.25">
      <c r="A115" s="244" t="s">
        <v>286</v>
      </c>
      <c r="B115" s="244" t="s">
        <v>287</v>
      </c>
      <c r="C115" s="244" t="s">
        <v>1846</v>
      </c>
      <c r="D115" s="244">
        <v>446</v>
      </c>
    </row>
    <row r="116" spans="1:4" x14ac:dyDescent="0.25">
      <c r="A116" s="244" t="s">
        <v>288</v>
      </c>
      <c r="B116" s="244" t="s">
        <v>289</v>
      </c>
      <c r="C116" s="244" t="s">
        <v>1900</v>
      </c>
      <c r="D116" s="244">
        <v>21.5</v>
      </c>
    </row>
    <row r="117" spans="1:4" x14ac:dyDescent="0.25">
      <c r="A117" s="244" t="s">
        <v>290</v>
      </c>
      <c r="B117" s="244" t="s">
        <v>291</v>
      </c>
      <c r="C117" s="244" t="s">
        <v>1854</v>
      </c>
      <c r="D117" s="244">
        <v>11.5</v>
      </c>
    </row>
    <row r="118" spans="1:4" x14ac:dyDescent="0.25">
      <c r="A118" s="244" t="s">
        <v>292</v>
      </c>
      <c r="B118" s="244" t="s">
        <v>293</v>
      </c>
      <c r="C118" s="244" t="s">
        <v>1011</v>
      </c>
      <c r="D118" s="244">
        <v>5732</v>
      </c>
    </row>
    <row r="119" spans="1:4" x14ac:dyDescent="0.25">
      <c r="A119" s="244" t="s">
        <v>294</v>
      </c>
      <c r="B119" s="244" t="s">
        <v>295</v>
      </c>
      <c r="C119" s="244" t="s">
        <v>1668</v>
      </c>
      <c r="D119" s="244">
        <v>268</v>
      </c>
    </row>
    <row r="120" spans="1:4" x14ac:dyDescent="0.25">
      <c r="A120" s="244" t="s">
        <v>296</v>
      </c>
      <c r="B120" s="244" t="s">
        <v>297</v>
      </c>
      <c r="C120" s="244" t="s">
        <v>1631</v>
      </c>
      <c r="D120" s="244">
        <v>27.5</v>
      </c>
    </row>
    <row r="121" spans="1:4" x14ac:dyDescent="0.25">
      <c r="A121" s="244" t="s">
        <v>298</v>
      </c>
      <c r="B121" s="244" t="s">
        <v>299</v>
      </c>
      <c r="C121" s="244" t="s">
        <v>1623</v>
      </c>
      <c r="D121" s="244">
        <v>776</v>
      </c>
    </row>
    <row r="122" spans="1:4" x14ac:dyDescent="0.25">
      <c r="A122" s="244" t="s">
        <v>300</v>
      </c>
      <c r="B122" s="244" t="s">
        <v>301</v>
      </c>
      <c r="C122" s="244" t="s">
        <v>1609</v>
      </c>
      <c r="D122" s="244">
        <v>1660.5</v>
      </c>
    </row>
    <row r="123" spans="1:4" x14ac:dyDescent="0.25">
      <c r="A123" s="244" t="s">
        <v>302</v>
      </c>
      <c r="B123" s="244" t="s">
        <v>303</v>
      </c>
      <c r="C123" s="244" t="s">
        <v>1722</v>
      </c>
      <c r="D123" s="244">
        <v>7</v>
      </c>
    </row>
    <row r="124" spans="1:4" x14ac:dyDescent="0.25">
      <c r="A124" s="244" t="s">
        <v>304</v>
      </c>
      <c r="B124" s="244" t="s">
        <v>305</v>
      </c>
      <c r="C124" s="244" t="s">
        <v>1545</v>
      </c>
      <c r="D124" s="244">
        <v>580.5</v>
      </c>
    </row>
    <row r="125" spans="1:4" x14ac:dyDescent="0.25">
      <c r="A125" s="244" t="s">
        <v>306</v>
      </c>
      <c r="B125" s="244" t="s">
        <v>307</v>
      </c>
      <c r="C125" s="244" t="s">
        <v>1878</v>
      </c>
      <c r="D125" s="244">
        <v>7</v>
      </c>
    </row>
    <row r="126" spans="1:4" x14ac:dyDescent="0.25">
      <c r="A126" s="244" t="s">
        <v>309</v>
      </c>
      <c r="B126" s="244" t="s">
        <v>310</v>
      </c>
      <c r="C126" s="244" t="s">
        <v>834</v>
      </c>
      <c r="D126" s="244">
        <v>5758</v>
      </c>
    </row>
    <row r="127" spans="1:4" x14ac:dyDescent="0.25">
      <c r="A127" s="244" t="s">
        <v>311</v>
      </c>
      <c r="B127" s="244" t="s">
        <v>312</v>
      </c>
      <c r="C127" s="244" t="s">
        <v>843</v>
      </c>
      <c r="D127" s="244">
        <v>5758</v>
      </c>
    </row>
    <row r="128" spans="1:4" x14ac:dyDescent="0.25">
      <c r="A128" s="244" t="s">
        <v>320</v>
      </c>
      <c r="B128" s="244" t="s">
        <v>321</v>
      </c>
      <c r="C128" s="245" t="s">
        <v>1313</v>
      </c>
      <c r="D128" s="244">
        <v>28837.5</v>
      </c>
    </row>
    <row r="129" spans="1:4" x14ac:dyDescent="0.25">
      <c r="A129" s="244" t="s">
        <v>322</v>
      </c>
      <c r="B129" s="244" t="s">
        <v>323</v>
      </c>
      <c r="C129" s="244" t="s">
        <v>1313</v>
      </c>
      <c r="D129" s="244">
        <v>28828.5</v>
      </c>
    </row>
    <row r="130" spans="1:4" x14ac:dyDescent="0.25">
      <c r="A130" s="244" t="s">
        <v>324</v>
      </c>
      <c r="B130" s="244" t="s">
        <v>325</v>
      </c>
      <c r="C130" s="245" t="s">
        <v>1938</v>
      </c>
      <c r="D130" s="244">
        <v>28864.5</v>
      </c>
    </row>
    <row r="131" spans="1:4" x14ac:dyDescent="0.25">
      <c r="A131" s="244" t="s">
        <v>326</v>
      </c>
      <c r="B131" s="244" t="s">
        <v>327</v>
      </c>
      <c r="C131" s="244" t="s">
        <v>1947</v>
      </c>
      <c r="D131" s="244">
        <v>28855.5</v>
      </c>
    </row>
    <row r="132" spans="1:4" x14ac:dyDescent="0.25">
      <c r="A132" s="244" t="s">
        <v>328</v>
      </c>
      <c r="B132" s="244" t="s">
        <v>329</v>
      </c>
      <c r="C132" s="244" t="s">
        <v>1940</v>
      </c>
      <c r="D132" s="244">
        <v>30045.5</v>
      </c>
    </row>
    <row r="133" spans="1:4" x14ac:dyDescent="0.25">
      <c r="A133" s="244" t="s">
        <v>330</v>
      </c>
      <c r="B133" s="244" t="s">
        <v>331</v>
      </c>
      <c r="C133" s="244" t="s">
        <v>1941</v>
      </c>
      <c r="D133" s="244">
        <v>30036.5</v>
      </c>
    </row>
    <row r="134" spans="1:4" x14ac:dyDescent="0.25">
      <c r="A134" s="244" t="s">
        <v>332</v>
      </c>
      <c r="B134" s="244" t="s">
        <v>333</v>
      </c>
      <c r="C134" s="244" t="s">
        <v>1948</v>
      </c>
      <c r="D134" s="244">
        <v>30027</v>
      </c>
    </row>
    <row r="135" spans="1:4" x14ac:dyDescent="0.25">
      <c r="A135" s="244" t="s">
        <v>334</v>
      </c>
      <c r="B135" s="244" t="s">
        <v>335</v>
      </c>
      <c r="C135" s="244" t="s">
        <v>1949</v>
      </c>
      <c r="D135" s="244">
        <v>30018</v>
      </c>
    </row>
    <row r="137" spans="1:4" x14ac:dyDescent="0.25">
      <c r="A137" s="247" t="s">
        <v>1932</v>
      </c>
      <c r="B137" s="244" t="s">
        <v>579</v>
      </c>
      <c r="C137" s="245" t="s">
        <v>1946</v>
      </c>
      <c r="D137" s="244">
        <v>1</v>
      </c>
    </row>
    <row r="138" spans="1:4" x14ac:dyDescent="0.25">
      <c r="A138" s="244" t="s">
        <v>1933</v>
      </c>
      <c r="B138" s="244" t="s">
        <v>1935</v>
      </c>
      <c r="C138" s="245" t="s">
        <v>1944</v>
      </c>
      <c r="D138" s="244">
        <v>1</v>
      </c>
    </row>
    <row r="139" spans="1:4" x14ac:dyDescent="0.25">
      <c r="A139" s="244" t="s">
        <v>1934</v>
      </c>
      <c r="B139" s="244" t="s">
        <v>1937</v>
      </c>
      <c r="C139" s="245" t="s">
        <v>1950</v>
      </c>
      <c r="D139" s="244">
        <v>200.5</v>
      </c>
    </row>
    <row r="140" spans="1:4" x14ac:dyDescent="0.25">
      <c r="A140" s="244" t="s">
        <v>1931</v>
      </c>
      <c r="B140" s="244" t="s">
        <v>1936</v>
      </c>
      <c r="C140" s="245" t="s">
        <v>1945</v>
      </c>
      <c r="D140" s="244">
        <v>20</v>
      </c>
    </row>
    <row r="142" spans="1:4" x14ac:dyDescent="0.25">
      <c r="A142" s="244" t="s">
        <v>1285</v>
      </c>
      <c r="B142" s="244" t="s">
        <v>1297</v>
      </c>
      <c r="C142" s="244" t="s">
        <v>1284</v>
      </c>
      <c r="D142" s="244">
        <v>29728.5</v>
      </c>
    </row>
    <row r="143" spans="1:4" x14ac:dyDescent="0.25">
      <c r="A143" s="244" t="s">
        <v>1300</v>
      </c>
      <c r="B143" s="244" t="s">
        <v>1297</v>
      </c>
      <c r="C143" s="244" t="s">
        <v>1299</v>
      </c>
      <c r="D143" s="244">
        <v>34943.5</v>
      </c>
    </row>
    <row r="144" spans="1:4" x14ac:dyDescent="0.25">
      <c r="A144" s="244" t="s">
        <v>1289</v>
      </c>
      <c r="B144" s="244" t="s">
        <v>1297</v>
      </c>
      <c r="C144" s="244" t="s">
        <v>1288</v>
      </c>
      <c r="D144" s="244">
        <v>43076</v>
      </c>
    </row>
    <row r="145" spans="1:4" x14ac:dyDescent="0.25">
      <c r="A145" s="244" t="s">
        <v>1292</v>
      </c>
      <c r="B145" s="246" t="s">
        <v>1291</v>
      </c>
      <c r="C145" s="244" t="s">
        <v>1290</v>
      </c>
      <c r="D145" s="244">
        <v>35216.5</v>
      </c>
    </row>
    <row r="146" spans="1:4" x14ac:dyDescent="0.25">
      <c r="A146" s="244" t="s">
        <v>1296</v>
      </c>
      <c r="B146" s="244" t="s">
        <v>1297</v>
      </c>
      <c r="C146" s="246" t="s">
        <v>1295</v>
      </c>
      <c r="D146" s="244">
        <v>51092</v>
      </c>
    </row>
    <row r="147" spans="1:4" x14ac:dyDescent="0.25">
      <c r="A147" s="244" t="s">
        <v>1298</v>
      </c>
      <c r="B147" s="244" t="s">
        <v>1297</v>
      </c>
      <c r="C147" s="246" t="s">
        <v>1297</v>
      </c>
      <c r="D147" s="244">
        <v>55805.5</v>
      </c>
    </row>
    <row r="149" spans="1:4" x14ac:dyDescent="0.25">
      <c r="A149" s="244" t="s">
        <v>1952</v>
      </c>
      <c r="B149" s="244" t="s">
        <v>412</v>
      </c>
      <c r="C149" s="244" t="s">
        <v>1250</v>
      </c>
      <c r="D149" s="244">
        <v>5251.5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15"/>
  <sheetViews>
    <sheetView zoomScale="70" zoomScaleNormal="70" workbookViewId="0">
      <pane ySplit="7" topLeftCell="A80" activePane="bottomLeft" state="frozen"/>
      <selection pane="bottomLeft" activeCell="D89" sqref="D89"/>
    </sheetView>
  </sheetViews>
  <sheetFormatPr defaultColWidth="8.7109375" defaultRowHeight="15" x14ac:dyDescent="0.25"/>
  <cols>
    <col min="1" max="1" width="6.28515625" customWidth="1"/>
    <col min="2" max="2" width="74.85546875" customWidth="1"/>
    <col min="3" max="3" width="9.5703125" style="1" customWidth="1"/>
    <col min="4" max="4" width="27.140625" customWidth="1"/>
    <col min="5" max="5" width="27.140625" style="223" customWidth="1"/>
    <col min="6" max="8" width="14.42578125" customWidth="1"/>
    <col min="9" max="9" width="14.42578125" style="2" customWidth="1"/>
    <col min="10" max="12" width="14.42578125" customWidth="1"/>
    <col min="13" max="13" width="1" style="3" customWidth="1"/>
    <col min="14" max="14" width="11.5703125" customWidth="1"/>
  </cols>
  <sheetData>
    <row r="1" spans="2:14" ht="67.5" customHeight="1" thickBot="1" x14ac:dyDescent="0.3">
      <c r="B1" s="196" t="s">
        <v>1917</v>
      </c>
      <c r="C1" s="196"/>
      <c r="D1" s="4"/>
      <c r="E1" s="222"/>
      <c r="F1" s="4"/>
      <c r="G1" s="5"/>
      <c r="H1" s="6"/>
      <c r="J1" s="6"/>
      <c r="K1" s="6"/>
      <c r="L1" s="6"/>
    </row>
    <row r="2" spans="2:14" ht="19.7" customHeight="1" thickBot="1" x14ac:dyDescent="0.35">
      <c r="B2" s="197" t="s">
        <v>1</v>
      </c>
      <c r="C2" s="197"/>
      <c r="D2" s="4"/>
      <c r="E2" s="222"/>
      <c r="F2" s="4"/>
      <c r="G2" s="5"/>
      <c r="H2" s="6"/>
      <c r="I2" s="7"/>
      <c r="J2" s="6"/>
      <c r="K2" s="6"/>
      <c r="L2" s="6"/>
    </row>
    <row r="3" spans="2:14" ht="19.5" customHeight="1" x14ac:dyDescent="0.25">
      <c r="B3" s="8"/>
      <c r="C3" s="9"/>
      <c r="D3" s="4"/>
      <c r="E3" s="222"/>
      <c r="F3" s="4"/>
      <c r="G3" s="5"/>
      <c r="H3" s="6"/>
      <c r="I3" s="7"/>
      <c r="J3" s="6"/>
      <c r="K3" s="6"/>
      <c r="L3" s="6"/>
    </row>
    <row r="4" spans="2:14" ht="15.75" thickBot="1" x14ac:dyDescent="0.3">
      <c r="B4" s="10"/>
      <c r="C4" s="11"/>
      <c r="D4" s="4"/>
      <c r="E4" s="222"/>
      <c r="F4" s="12"/>
      <c r="G4" s="8"/>
      <c r="H4" s="13" t="s">
        <v>2</v>
      </c>
      <c r="I4" s="14"/>
      <c r="J4" s="13"/>
      <c r="K4" s="13"/>
      <c r="L4" s="13"/>
    </row>
    <row r="5" spans="2:14" ht="15.75" thickBot="1" x14ac:dyDescent="0.3">
      <c r="B5" s="15" t="s">
        <v>3</v>
      </c>
      <c r="C5" s="16" t="s">
        <v>4</v>
      </c>
      <c r="F5" s="17"/>
      <c r="H5" s="18">
        <v>0.37</v>
      </c>
      <c r="I5" s="19"/>
      <c r="J5" s="19"/>
      <c r="K5" s="19"/>
      <c r="L5" s="19"/>
    </row>
    <row r="6" spans="2:14" ht="16.5" thickBot="1" x14ac:dyDescent="0.3">
      <c r="B6" s="20"/>
      <c r="C6" s="21"/>
      <c r="D6" s="20"/>
      <c r="E6" s="222"/>
      <c r="F6" s="20"/>
      <c r="G6" s="20"/>
      <c r="H6" s="20"/>
      <c r="I6" s="22"/>
      <c r="J6" s="20"/>
      <c r="K6" s="20"/>
      <c r="L6" s="20"/>
    </row>
    <row r="7" spans="2:14" ht="27" thickBot="1" x14ac:dyDescent="0.3">
      <c r="B7" s="23" t="s">
        <v>5</v>
      </c>
      <c r="C7" s="24" t="s">
        <v>6</v>
      </c>
      <c r="D7" s="25" t="s">
        <v>581</v>
      </c>
      <c r="E7" s="220" t="s">
        <v>1916</v>
      </c>
      <c r="F7" s="26" t="s">
        <v>8</v>
      </c>
      <c r="G7" s="27" t="s">
        <v>9</v>
      </c>
      <c r="H7" s="28" t="s">
        <v>10</v>
      </c>
      <c r="I7" s="29" t="s">
        <v>11</v>
      </c>
      <c r="J7" s="30" t="s">
        <v>12</v>
      </c>
      <c r="K7" s="30" t="s">
        <v>13</v>
      </c>
      <c r="L7" s="30" t="s">
        <v>14</v>
      </c>
      <c r="N7" s="31"/>
    </row>
    <row r="8" spans="2:14" ht="9.75" customHeight="1" thickBot="1" x14ac:dyDescent="0.3">
      <c r="B8" s="32"/>
      <c r="C8" s="33"/>
      <c r="D8" s="34"/>
      <c r="E8" s="221"/>
      <c r="F8" s="35"/>
      <c r="G8" s="36"/>
      <c r="H8" s="37"/>
      <c r="I8" s="38"/>
      <c r="J8" s="39"/>
      <c r="K8" s="39"/>
      <c r="L8" s="39"/>
    </row>
    <row r="9" spans="2:14" ht="18.75" customHeight="1" thickBot="1" x14ac:dyDescent="0.3">
      <c r="B9" s="198" t="s">
        <v>15</v>
      </c>
      <c r="C9" s="198"/>
      <c r="D9" s="198"/>
      <c r="E9" s="224"/>
      <c r="F9" s="198"/>
      <c r="G9" s="198"/>
      <c r="H9" s="198"/>
      <c r="I9" s="40"/>
      <c r="J9" s="40">
        <v>0.6</v>
      </c>
      <c r="K9" s="40">
        <v>0.67500000000000004</v>
      </c>
      <c r="L9" s="40">
        <v>0.75</v>
      </c>
    </row>
    <row r="10" spans="2:14" ht="18.75" customHeight="1" thickBot="1" x14ac:dyDescent="0.3">
      <c r="B10" s="199" t="s">
        <v>16</v>
      </c>
      <c r="C10" s="199"/>
      <c r="D10" s="199"/>
      <c r="E10" s="225"/>
      <c r="F10" s="199"/>
      <c r="G10" s="199"/>
      <c r="H10" s="199"/>
      <c r="I10" s="41"/>
      <c r="J10" s="41"/>
      <c r="K10" s="41"/>
      <c r="L10" s="41"/>
    </row>
    <row r="11" spans="2:14" ht="18.75" customHeight="1" x14ac:dyDescent="0.25">
      <c r="B11" s="42" t="s">
        <v>17</v>
      </c>
      <c r="C11" s="43">
        <v>1</v>
      </c>
      <c r="D11" s="44" t="s">
        <v>18</v>
      </c>
      <c r="E11" s="218" t="str">
        <f>VLOOKUP(D11,Sheet1!B:C, 2, FALSE)</f>
        <v>D09530000VXE0NM</v>
      </c>
      <c r="F11" s="45">
        <v>195.71</v>
      </c>
      <c r="G11" s="46">
        <f>'March 2025'!F11</f>
        <v>2986.5</v>
      </c>
      <c r="H11" s="46">
        <f>G11*$H$5</f>
        <v>1105.0049999999999</v>
      </c>
      <c r="I11" s="47">
        <f>((H11-F11)/H11)</f>
        <v>0.82288767924127038</v>
      </c>
      <c r="J11" s="48">
        <f>(($F11/(1-$J9)))</f>
        <v>489.27499999999998</v>
      </c>
      <c r="K11" s="48">
        <f>(($F11/(1-$K$9)))</f>
        <v>602.18461538461554</v>
      </c>
      <c r="L11" s="48">
        <f>(($F11/(1-$L9)))</f>
        <v>782.84</v>
      </c>
    </row>
    <row r="12" spans="2:14" ht="18.75" customHeight="1" thickBot="1" x14ac:dyDescent="0.3">
      <c r="B12" s="42" t="s">
        <v>19</v>
      </c>
      <c r="C12" s="43">
        <v>1</v>
      </c>
      <c r="D12" s="49" t="s">
        <v>20</v>
      </c>
      <c r="E12" s="218" t="str">
        <f>VLOOKUP(D12,Sheet1!B:C, 2, FALSE)</f>
        <v>D09530000VXE0TX</v>
      </c>
      <c r="F12" s="50">
        <v>171.53399999999999</v>
      </c>
      <c r="G12" s="46">
        <f>'March 2025'!F12</f>
        <v>2874.5</v>
      </c>
      <c r="H12" s="46">
        <f>G12*$H$5</f>
        <v>1063.5650000000001</v>
      </c>
      <c r="I12" s="47">
        <f>((H12-F12)/H12)</f>
        <v>0.83871789688453458</v>
      </c>
      <c r="J12" s="48">
        <f>(($F12/(1-$J$9)))</f>
        <v>428.83499999999998</v>
      </c>
      <c r="K12" s="48">
        <f>(($F12/(1-$K$9)))</f>
        <v>527.79692307692312</v>
      </c>
      <c r="L12" s="48">
        <f>(($F12/(1-$L$9)))</f>
        <v>686.13599999999997</v>
      </c>
    </row>
    <row r="13" spans="2:14" ht="18.75" customHeight="1" thickBot="1" x14ac:dyDescent="0.3">
      <c r="B13" s="200" t="s">
        <v>21</v>
      </c>
      <c r="C13" s="200"/>
      <c r="D13" s="200"/>
      <c r="E13" s="226"/>
      <c r="F13" s="200"/>
      <c r="G13" s="200"/>
      <c r="H13" s="200"/>
      <c r="I13" s="51"/>
      <c r="J13" s="48"/>
      <c r="K13" s="48"/>
      <c r="L13" s="48"/>
    </row>
    <row r="14" spans="2:14" ht="18.75" customHeight="1" x14ac:dyDescent="0.25">
      <c r="B14" s="42" t="s">
        <v>22</v>
      </c>
      <c r="C14" s="43">
        <v>1</v>
      </c>
      <c r="D14" s="52" t="s">
        <v>23</v>
      </c>
      <c r="E14" s="218" t="str">
        <f>VLOOKUP(D14,Sheet1!B:C, 2, FALSE)</f>
        <v>D09530002VXEXDF</v>
      </c>
      <c r="F14" s="45">
        <v>160.1174</v>
      </c>
      <c r="G14" s="46">
        <f>'March 2025'!F14</f>
        <v>3333</v>
      </c>
      <c r="H14" s="46">
        <f>G14*$H$5</f>
        <v>1233.21</v>
      </c>
      <c r="I14" s="47">
        <f>((H14-F14)/H14)</f>
        <v>0.87016209729081007</v>
      </c>
      <c r="J14" s="48">
        <f>(($F14/(1-J$9)))</f>
        <v>400.29349999999999</v>
      </c>
      <c r="K14" s="48">
        <f>(($F14/(1-$K$9)))</f>
        <v>492.66892307692314</v>
      </c>
      <c r="L14" s="48">
        <f>(($F14/(1-L$9)))</f>
        <v>640.46960000000001</v>
      </c>
    </row>
    <row r="15" spans="2:14" ht="18.75" customHeight="1" thickBot="1" x14ac:dyDescent="0.3">
      <c r="B15" s="42" t="s">
        <v>24</v>
      </c>
      <c r="C15" s="43">
        <v>1</v>
      </c>
      <c r="D15" s="52" t="s">
        <v>25</v>
      </c>
      <c r="E15" s="218" t="str">
        <f>VLOOKUP(D15,Sheet1!B:C, 2, FALSE)</f>
        <v>D09530002VXCVE0</v>
      </c>
      <c r="F15" s="45">
        <v>241.4136</v>
      </c>
      <c r="G15" s="46">
        <f>'March 2025'!F15</f>
        <v>2985.5</v>
      </c>
      <c r="H15" s="46">
        <f>G15*$H$5</f>
        <v>1104.635</v>
      </c>
      <c r="I15" s="47">
        <f>((H15-F15)/H15)</f>
        <v>0.78145396443169013</v>
      </c>
      <c r="J15" s="48">
        <f>(($F15/(1-$J$9)))</f>
        <v>603.53399999999999</v>
      </c>
      <c r="K15" s="48">
        <f>(($F15/(1-$K$9)))</f>
        <v>742.81107692307705</v>
      </c>
      <c r="L15" s="48">
        <f>(($F15/(1-$L$9)))</f>
        <v>965.65440000000001</v>
      </c>
    </row>
    <row r="16" spans="2:14" ht="18.75" customHeight="1" x14ac:dyDescent="0.25">
      <c r="B16" s="201" t="s">
        <v>26</v>
      </c>
      <c r="C16" s="201"/>
      <c r="D16" s="201"/>
      <c r="E16" s="227"/>
      <c r="F16" s="201"/>
      <c r="G16" s="201"/>
      <c r="H16" s="201"/>
      <c r="I16" s="51"/>
      <c r="J16" s="48"/>
      <c r="K16" s="48"/>
      <c r="L16" s="48"/>
    </row>
    <row r="17" spans="1:12" ht="18.75" customHeight="1" x14ac:dyDescent="0.25">
      <c r="A17" t="s">
        <v>142</v>
      </c>
      <c r="B17" s="53" t="s">
        <v>27</v>
      </c>
      <c r="C17" s="54">
        <v>1</v>
      </c>
      <c r="D17" s="44" t="s">
        <v>28</v>
      </c>
      <c r="E17" s="218" t="str">
        <f>VLOOKUP(D17,Sheet1!B:C, 2, FALSE)</f>
        <v>D09530003VXE0DF</v>
      </c>
      <c r="F17" s="55">
        <v>52.320099999999996</v>
      </c>
      <c r="G17" s="46">
        <f>'March 2025'!F17</f>
        <v>1332.5</v>
      </c>
      <c r="H17" s="57">
        <f>G17*$H$5</f>
        <v>493.02499999999998</v>
      </c>
      <c r="I17" s="47">
        <f>((H17-F17)/H17)</f>
        <v>0.89387941787941783</v>
      </c>
      <c r="J17" s="48">
        <f>(($F17/(1-J$9)))</f>
        <v>130.80024999999998</v>
      </c>
      <c r="K17" s="48">
        <f>(($F17/(1-$K$9)))</f>
        <v>160.98492307692308</v>
      </c>
      <c r="L17" s="48">
        <f>(($F17/(1-L$9)))</f>
        <v>209.28039999999999</v>
      </c>
    </row>
    <row r="18" spans="1:12" ht="18.75" customHeight="1" x14ac:dyDescent="0.25">
      <c r="A18" t="s">
        <v>142</v>
      </c>
      <c r="B18" s="53" t="s">
        <v>29</v>
      </c>
      <c r="C18" s="54">
        <v>1</v>
      </c>
      <c r="D18" s="44" t="s">
        <v>30</v>
      </c>
      <c r="E18" s="218" t="str">
        <f>VLOOKUP(D18,Sheet1!B:C, 2, FALSE)</f>
        <v>D09530003VXESDF</v>
      </c>
      <c r="F18" s="55">
        <v>34.543799999999997</v>
      </c>
      <c r="G18" s="46">
        <f>'March 2025'!F18</f>
        <v>1262.5</v>
      </c>
      <c r="H18" s="57">
        <f>G18*$H$5</f>
        <v>467.125</v>
      </c>
      <c r="I18" s="47">
        <f>((H18-F18)/H18)</f>
        <v>0.92605020069574528</v>
      </c>
      <c r="J18" s="48">
        <f>(($F18/(1-J$9)))</f>
        <v>86.359499999999983</v>
      </c>
      <c r="K18" s="48">
        <f>(($F18/(1-$K$9)))</f>
        <v>106.2886153846154</v>
      </c>
      <c r="L18" s="48">
        <f>(($F18/(1-L$9)))</f>
        <v>138.17519999999999</v>
      </c>
    </row>
    <row r="19" spans="1:12" ht="18.75" customHeight="1" x14ac:dyDescent="0.25">
      <c r="A19" t="s">
        <v>142</v>
      </c>
      <c r="B19" s="53" t="s">
        <v>31</v>
      </c>
      <c r="C19" s="54">
        <v>1</v>
      </c>
      <c r="D19" s="44" t="s">
        <v>32</v>
      </c>
      <c r="E19" s="218" t="str">
        <f>VLOOKUP(D19,Sheet1!B:C, 2, FALSE)</f>
        <v>D09530003VXE0CF</v>
      </c>
      <c r="F19" s="55">
        <v>51.854239999999997</v>
      </c>
      <c r="G19" s="46">
        <f>'March 2025'!F19</f>
        <v>1332.5</v>
      </c>
      <c r="H19" s="57">
        <f>G19*$H$5</f>
        <v>493.02499999999998</v>
      </c>
      <c r="I19" s="47">
        <f>((H19-F19)/H19)</f>
        <v>0.89482431925358752</v>
      </c>
      <c r="J19" s="48">
        <f>(($F19/(1-J$9)))</f>
        <v>129.63559999999998</v>
      </c>
      <c r="K19" s="48">
        <f>(($F19/(1-$K$9)))</f>
        <v>159.55150769230769</v>
      </c>
      <c r="L19" s="48">
        <f>(($F19/(1-L$9)))</f>
        <v>207.41695999999999</v>
      </c>
    </row>
    <row r="20" spans="1:12" ht="18.75" customHeight="1" thickBot="1" x14ac:dyDescent="0.3">
      <c r="A20" t="s">
        <v>142</v>
      </c>
      <c r="B20" s="59" t="s">
        <v>33</v>
      </c>
      <c r="C20" s="60">
        <v>1</v>
      </c>
      <c r="D20" s="61" t="s">
        <v>34</v>
      </c>
      <c r="E20" s="218" t="str">
        <f>VLOOKUP(D20,Sheet1!B:C, 2, FALSE)</f>
        <v>D09530003VXESCF</v>
      </c>
      <c r="F20" s="62">
        <v>34.077939999999998</v>
      </c>
      <c r="G20" s="46">
        <f>'March 2025'!F20</f>
        <v>1262.5</v>
      </c>
      <c r="H20" s="63">
        <f>G20*$H$5</f>
        <v>467.125</v>
      </c>
      <c r="I20" s="47">
        <f>((H20-F20)/H20)</f>
        <v>0.92704749264115593</v>
      </c>
      <c r="J20" s="48">
        <f>(($F20/(1-J$9)))</f>
        <v>85.194849999999988</v>
      </c>
      <c r="K20" s="48">
        <f>(($F20/(1-$K$9)))</f>
        <v>104.85520000000001</v>
      </c>
      <c r="L20" s="48">
        <f>(($F20/(1-L$9)))</f>
        <v>136.31175999999999</v>
      </c>
    </row>
    <row r="21" spans="1:12" ht="18.75" customHeight="1" x14ac:dyDescent="0.25">
      <c r="B21" s="202" t="s">
        <v>35</v>
      </c>
      <c r="C21" s="202"/>
      <c r="D21" s="202"/>
      <c r="E21" s="228"/>
      <c r="F21" s="202"/>
      <c r="G21" s="202"/>
      <c r="H21" s="202"/>
      <c r="I21" s="51"/>
      <c r="J21" s="48"/>
      <c r="K21" s="48"/>
      <c r="L21" s="48"/>
    </row>
    <row r="22" spans="1:12" ht="18.75" customHeight="1" x14ac:dyDescent="0.25">
      <c r="B22" s="53" t="s">
        <v>36</v>
      </c>
      <c r="C22" s="54">
        <v>1</v>
      </c>
      <c r="D22" s="44" t="s">
        <v>37</v>
      </c>
      <c r="E22" s="218" t="str">
        <f>VLOOKUP(D22,Sheet1!B:C, 2, FALSE)</f>
        <v>D09530006VXE0B0</v>
      </c>
      <c r="F22" s="55">
        <v>102.34866</v>
      </c>
      <c r="G22" s="46">
        <f>'March 2025'!F22</f>
        <v>1262.5</v>
      </c>
      <c r="H22" s="57">
        <f>G22*$H$5</f>
        <v>467.125</v>
      </c>
      <c r="I22" s="47">
        <f>((H22-F22)/H22)</f>
        <v>0.78089663366336637</v>
      </c>
      <c r="J22" s="48">
        <f>(($F22/(1-J$9)))</f>
        <v>255.87164999999999</v>
      </c>
      <c r="K22" s="48">
        <f>(($F22/(1-$K$9)))</f>
        <v>314.9189538461539</v>
      </c>
      <c r="L22" s="48">
        <f>(($F22/(1-L$9)))</f>
        <v>409.39463999999998</v>
      </c>
    </row>
    <row r="23" spans="1:12" ht="18.75" customHeight="1" x14ac:dyDescent="0.25">
      <c r="B23" s="53" t="s">
        <v>38</v>
      </c>
      <c r="C23" s="54">
        <v>1</v>
      </c>
      <c r="D23" s="44" t="s">
        <v>39</v>
      </c>
      <c r="E23" s="218" t="str">
        <f>VLOOKUP(D23,Sheet1!B:C, 2, FALSE)</f>
        <v>D09530006VXE0N0</v>
      </c>
      <c r="F23" s="55">
        <v>230.5925</v>
      </c>
      <c r="G23" s="46">
        <f>'March 2025'!F23</f>
        <v>2345</v>
      </c>
      <c r="H23" s="57">
        <f>G23*$H$5</f>
        <v>867.65</v>
      </c>
      <c r="I23" s="47">
        <f>((H23-F23)/H23)</f>
        <v>0.73423327378551262</v>
      </c>
      <c r="J23" s="48">
        <f>(($F23/(1-J$9)))</f>
        <v>576.48124999999993</v>
      </c>
      <c r="K23" s="48">
        <f>(($F23/(1-$K$9)))</f>
        <v>709.51538461538473</v>
      </c>
      <c r="L23" s="48">
        <f>(($F23/(1-L$9)))</f>
        <v>922.37</v>
      </c>
    </row>
    <row r="24" spans="1:12" ht="18.75" customHeight="1" x14ac:dyDescent="0.25">
      <c r="A24" t="s">
        <v>142</v>
      </c>
      <c r="B24" s="53" t="s">
        <v>40</v>
      </c>
      <c r="C24" s="54">
        <v>1</v>
      </c>
      <c r="D24" s="44" t="s">
        <v>41</v>
      </c>
      <c r="E24" s="218" t="str">
        <f>VLOOKUP(D24,Sheet1!B:C, 2, FALSE)</f>
        <v>D09530004VXE0D4</v>
      </c>
      <c r="F24" s="55">
        <v>60.22</v>
      </c>
      <c r="G24" s="46">
        <f>'March 2025'!F24</f>
        <v>1332.5</v>
      </c>
      <c r="H24" s="57">
        <f>G24*$H$5</f>
        <v>493.02499999999998</v>
      </c>
      <c r="I24" s="47">
        <f>((H24-F24)/H24)</f>
        <v>0.87785609249023877</v>
      </c>
      <c r="J24" s="48">
        <f>(($F24/(1-J$9)))</f>
        <v>150.54999999999998</v>
      </c>
      <c r="K24" s="48">
        <f>(($F24/(1-$K$9)))</f>
        <v>185.2923076923077</v>
      </c>
      <c r="L24" s="48">
        <f>(($F24/(1-L$9)))</f>
        <v>240.88</v>
      </c>
    </row>
    <row r="25" spans="1:12" ht="18.75" customHeight="1" thickBot="1" x14ac:dyDescent="0.3">
      <c r="A25" t="s">
        <v>142</v>
      </c>
      <c r="B25" s="59" t="s">
        <v>42</v>
      </c>
      <c r="C25" s="60">
        <v>1</v>
      </c>
      <c r="D25" s="61" t="s">
        <v>43</v>
      </c>
      <c r="E25" s="218" t="str">
        <f>VLOOKUP(D25,Sheet1!B:C, 2, FALSE)</f>
        <v>D09530004VXESDF</v>
      </c>
      <c r="F25" s="62">
        <v>35.203800000000001</v>
      </c>
      <c r="G25" s="46">
        <f>'March 2025'!F25</f>
        <v>1759</v>
      </c>
      <c r="H25" s="57">
        <f>G25*$H$5</f>
        <v>650.83000000000004</v>
      </c>
      <c r="I25" s="47">
        <f>((H25-F25)/H25)</f>
        <v>0.94590937725673374</v>
      </c>
      <c r="J25" s="48">
        <f>(($F25/(1-J$9)))</f>
        <v>88.009500000000003</v>
      </c>
      <c r="K25" s="48">
        <f>(($F25/(1-$K$9)))</f>
        <v>108.31938461538464</v>
      </c>
      <c r="L25" s="48">
        <f>(($F25/(1-L$9)))</f>
        <v>140.8152</v>
      </c>
    </row>
    <row r="26" spans="1:12" ht="18.75" customHeight="1" x14ac:dyDescent="0.25">
      <c r="B26" s="202" t="s">
        <v>44</v>
      </c>
      <c r="C26" s="202"/>
      <c r="D26" s="202"/>
      <c r="E26" s="228"/>
      <c r="F26" s="202"/>
      <c r="G26" s="202"/>
      <c r="H26" s="202"/>
      <c r="I26" s="51"/>
      <c r="J26" s="48"/>
      <c r="K26" s="48"/>
      <c r="L26" s="48"/>
    </row>
    <row r="27" spans="1:12" ht="18.75" customHeight="1" x14ac:dyDescent="0.25">
      <c r="B27" s="53" t="s">
        <v>45</v>
      </c>
      <c r="C27" s="54">
        <v>1</v>
      </c>
      <c r="D27" s="44" t="s">
        <v>46</v>
      </c>
      <c r="E27" s="218" t="str">
        <f>VLOOKUP(D27,Sheet1!B:C, 2, FALSE)</f>
        <v>D09530005VXCVE0</v>
      </c>
      <c r="F27" s="55">
        <v>193.33680000000001</v>
      </c>
      <c r="G27" s="46">
        <f>'March 2025'!F27</f>
        <v>2986.5</v>
      </c>
      <c r="H27" s="57">
        <f>G27*$H$5</f>
        <v>1105.0049999999999</v>
      </c>
      <c r="I27" s="47">
        <f>((H27-F27)/H27)</f>
        <v>0.82503536183094184</v>
      </c>
      <c r="J27" s="48">
        <f>(($F27/(1-J$9)))</f>
        <v>483.34199999999998</v>
      </c>
      <c r="K27" s="48">
        <f>(($F27/(1-$K$9)))</f>
        <v>594.8824615384616</v>
      </c>
      <c r="L27" s="48">
        <f>(($F27/(1-L$9)))</f>
        <v>773.34720000000004</v>
      </c>
    </row>
    <row r="28" spans="1:12" ht="18.75" customHeight="1" x14ac:dyDescent="0.25">
      <c r="A28" t="s">
        <v>142</v>
      </c>
      <c r="B28" s="53" t="s">
        <v>47</v>
      </c>
      <c r="C28" s="54">
        <v>1</v>
      </c>
      <c r="D28" s="44" t="s">
        <v>48</v>
      </c>
      <c r="E28" s="218" t="str">
        <f>VLOOKUP(D28,Sheet1!B:C, 2, FALSE)</f>
        <v>D09530005VXE0CF</v>
      </c>
      <c r="F28" s="55">
        <v>50.4801</v>
      </c>
      <c r="G28" s="46">
        <f>'March 2025'!F28</f>
        <v>1332.5</v>
      </c>
      <c r="H28" s="57">
        <f>G28*$H$5</f>
        <v>493.02499999999998</v>
      </c>
      <c r="I28" s="47">
        <f>((H28-F28)/H28)</f>
        <v>0.89761148014806558</v>
      </c>
      <c r="J28" s="48">
        <f>(($F28/(1-J$9)))</f>
        <v>126.20025</v>
      </c>
      <c r="K28" s="48">
        <f>(($F28/(1-$K$9)))</f>
        <v>155.32338461538464</v>
      </c>
      <c r="L28" s="48">
        <f>(($F28/(1-L$9)))</f>
        <v>201.9204</v>
      </c>
    </row>
    <row r="29" spans="1:12" ht="18.75" customHeight="1" thickBot="1" x14ac:dyDescent="0.3">
      <c r="A29" t="s">
        <v>142</v>
      </c>
      <c r="B29" s="59" t="s">
        <v>49</v>
      </c>
      <c r="C29" s="60">
        <v>1</v>
      </c>
      <c r="D29" s="61" t="s">
        <v>50</v>
      </c>
      <c r="E29" s="218" t="str">
        <f>VLOOKUP(D29,Sheet1!B:C, 2, FALSE)</f>
        <v>D09530005VXESCF</v>
      </c>
      <c r="F29" s="62">
        <v>32.703800000000001</v>
      </c>
      <c r="G29" s="46">
        <f>'March 2025'!F29</f>
        <v>1262.5</v>
      </c>
      <c r="H29" s="57">
        <f>G29*$H$5</f>
        <v>467.125</v>
      </c>
      <c r="I29" s="47">
        <f>((H29-F29)/H29)</f>
        <v>0.92998918918918916</v>
      </c>
      <c r="J29" s="48">
        <f>(($F29/(1-J$9)))</f>
        <v>81.759500000000003</v>
      </c>
      <c r="K29" s="48">
        <f>(($F29/(1-$K$9)))</f>
        <v>100.62707692307694</v>
      </c>
      <c r="L29" s="48">
        <f>(($F29/(1-L$9)))</f>
        <v>130.8152</v>
      </c>
    </row>
    <row r="30" spans="1:12" ht="18.75" customHeight="1" thickBot="1" x14ac:dyDescent="0.3">
      <c r="B30" s="203" t="s">
        <v>51</v>
      </c>
      <c r="C30" s="203"/>
      <c r="D30" s="203"/>
      <c r="E30" s="229"/>
      <c r="F30" s="203"/>
      <c r="G30" s="203"/>
      <c r="H30" s="203"/>
      <c r="I30" s="51"/>
      <c r="J30" s="48"/>
      <c r="K30" s="48"/>
      <c r="L30" s="48"/>
    </row>
    <row r="31" spans="1:12" ht="18.75" customHeight="1" thickBot="1" x14ac:dyDescent="0.3">
      <c r="A31" t="s">
        <v>142</v>
      </c>
      <c r="B31" s="64" t="s">
        <v>52</v>
      </c>
      <c r="C31" s="65">
        <v>1</v>
      </c>
      <c r="D31" s="49" t="s">
        <v>53</v>
      </c>
      <c r="E31" s="218" t="str">
        <f>VLOOKUP(D31,Sheet1!B:C, 2, FALSE)</f>
        <v>D09530010VXE0DF</v>
      </c>
      <c r="F31" s="66">
        <v>68.490399999999994</v>
      </c>
      <c r="G31" s="46">
        <f>'March 2025'!F31</f>
        <v>2316.5</v>
      </c>
      <c r="H31" s="57">
        <f>G31*$H$5</f>
        <v>857.10500000000002</v>
      </c>
      <c r="I31" s="47">
        <f>((H31-F31)/H31)</f>
        <v>0.92009100401934418</v>
      </c>
      <c r="J31" s="48">
        <f>(($F31/(1-J$9)))</f>
        <v>171.22599999999997</v>
      </c>
      <c r="K31" s="48">
        <f>(($F31/(1-$K$9)))</f>
        <v>210.73969230769231</v>
      </c>
      <c r="L31" s="48">
        <f>(($F31/(1-L$9)))</f>
        <v>273.96159999999998</v>
      </c>
    </row>
    <row r="32" spans="1:12" ht="18.75" customHeight="1" thickBot="1" x14ac:dyDescent="0.3">
      <c r="B32" s="204"/>
      <c r="C32" s="204"/>
      <c r="D32" s="204"/>
      <c r="E32" s="230"/>
      <c r="F32" s="204"/>
      <c r="G32" s="204"/>
      <c r="H32" s="204"/>
      <c r="I32" s="67"/>
      <c r="J32" s="48"/>
      <c r="K32" s="48"/>
      <c r="L32" s="48"/>
    </row>
    <row r="33" spans="2:12" ht="18.75" customHeight="1" thickBot="1" x14ac:dyDescent="0.3">
      <c r="B33" s="200" t="s">
        <v>54</v>
      </c>
      <c r="C33" s="200"/>
      <c r="D33" s="200"/>
      <c r="E33" s="226"/>
      <c r="F33" s="200"/>
      <c r="G33" s="200"/>
      <c r="H33" s="200"/>
      <c r="I33" s="51"/>
      <c r="J33" s="48"/>
      <c r="K33" s="48"/>
      <c r="L33" s="48"/>
    </row>
    <row r="34" spans="2:12" ht="18.75" customHeight="1" x14ac:dyDescent="0.25">
      <c r="B34" s="42" t="s">
        <v>55</v>
      </c>
      <c r="C34" s="43">
        <v>1</v>
      </c>
      <c r="D34" s="52" t="s">
        <v>56</v>
      </c>
      <c r="E34" s="218" t="str">
        <f>VLOOKUP(D34,Sheet1!B:C, 2, FALSE)</f>
        <v>D09530006VXWCB3</v>
      </c>
      <c r="F34" s="68">
        <v>103.42</v>
      </c>
      <c r="G34" s="46">
        <f>'March 2025'!F34</f>
        <v>1310</v>
      </c>
      <c r="H34" s="46">
        <f t="shared" ref="H34:H49" si="0">G34*$H$5</f>
        <v>484.7</v>
      </c>
      <c r="I34" s="47">
        <f t="shared" ref="I34:I49" si="1">((H34-F34)/H34)</f>
        <v>0.78663090571487515</v>
      </c>
      <c r="J34" s="48">
        <f t="shared" ref="J34:J49" si="2">(($F34/(1-J$9)))</f>
        <v>258.55</v>
      </c>
      <c r="K34" s="48">
        <f t="shared" ref="K34:K49" si="3">(($F34/(1-$K$9)))</f>
        <v>318.21538461538466</v>
      </c>
      <c r="L34" s="48">
        <f t="shared" ref="L34:L49" si="4">(($F34/(1-L$9)))</f>
        <v>413.68</v>
      </c>
    </row>
    <row r="35" spans="2:12" ht="18.75" customHeight="1" x14ac:dyDescent="0.25">
      <c r="B35" s="42" t="s">
        <v>57</v>
      </c>
      <c r="C35" s="43">
        <v>1</v>
      </c>
      <c r="D35" s="44" t="s">
        <v>58</v>
      </c>
      <c r="E35" s="218" t="str">
        <f>VLOOKUP(D35,Sheet1!B:C, 2, FALSE)</f>
        <v>D09530006VXWCX3</v>
      </c>
      <c r="F35" s="68">
        <v>133.38999999999999</v>
      </c>
      <c r="G35" s="46">
        <f>'March 2025'!F35</f>
        <v>1556.5</v>
      </c>
      <c r="H35" s="46">
        <f t="shared" si="0"/>
        <v>575.90499999999997</v>
      </c>
      <c r="I35" s="47">
        <f t="shared" si="1"/>
        <v>0.76838193799324539</v>
      </c>
      <c r="J35" s="48">
        <f t="shared" si="2"/>
        <v>333.47499999999997</v>
      </c>
      <c r="K35" s="48">
        <f t="shared" si="3"/>
        <v>410.43076923076927</v>
      </c>
      <c r="L35" s="48">
        <f t="shared" si="4"/>
        <v>533.55999999999995</v>
      </c>
    </row>
    <row r="36" spans="2:12" ht="18.75" customHeight="1" x14ac:dyDescent="0.25">
      <c r="B36" s="42" t="s">
        <v>59</v>
      </c>
      <c r="C36" s="43">
        <v>1</v>
      </c>
      <c r="D36" s="44" t="s">
        <v>60</v>
      </c>
      <c r="E36" s="218" t="str">
        <f>VLOOKUP(D36,Sheet1!B:C, 2, FALSE)</f>
        <v>D09530006VXWCB4</v>
      </c>
      <c r="F36" s="68">
        <v>109.44</v>
      </c>
      <c r="G36" s="46">
        <f>'March 2025'!F36</f>
        <v>1310</v>
      </c>
      <c r="H36" s="46">
        <f t="shared" si="0"/>
        <v>484.7</v>
      </c>
      <c r="I36" s="47">
        <f t="shared" si="1"/>
        <v>0.77421085207344753</v>
      </c>
      <c r="J36" s="48">
        <f t="shared" si="2"/>
        <v>273.59999999999997</v>
      </c>
      <c r="K36" s="48">
        <f t="shared" si="3"/>
        <v>336.73846153846159</v>
      </c>
      <c r="L36" s="48">
        <f t="shared" si="4"/>
        <v>437.76</v>
      </c>
    </row>
    <row r="37" spans="2:12" ht="18.75" customHeight="1" x14ac:dyDescent="0.25">
      <c r="B37" s="42" t="s">
        <v>61</v>
      </c>
      <c r="C37" s="43">
        <v>1</v>
      </c>
      <c r="D37" s="44" t="s">
        <v>62</v>
      </c>
      <c r="E37" s="218" t="str">
        <f>VLOOKUP(D37,Sheet1!B:C, 2, FALSE)</f>
        <v>D09530006VXWCX4</v>
      </c>
      <c r="F37" s="68">
        <v>133.38999999999999</v>
      </c>
      <c r="G37" s="46">
        <f>'March 2025'!F37</f>
        <v>1556.5</v>
      </c>
      <c r="H37" s="46">
        <f t="shared" si="0"/>
        <v>575.90499999999997</v>
      </c>
      <c r="I37" s="47">
        <f t="shared" si="1"/>
        <v>0.76838193799324539</v>
      </c>
      <c r="J37" s="48">
        <f t="shared" si="2"/>
        <v>333.47499999999997</v>
      </c>
      <c r="K37" s="48">
        <f t="shared" si="3"/>
        <v>410.43076923076927</v>
      </c>
      <c r="L37" s="48">
        <f t="shared" si="4"/>
        <v>533.55999999999995</v>
      </c>
    </row>
    <row r="38" spans="2:12" ht="18.75" customHeight="1" x14ac:dyDescent="0.25">
      <c r="B38" s="42" t="s">
        <v>63</v>
      </c>
      <c r="C38" s="43">
        <v>1</v>
      </c>
      <c r="D38" s="44" t="s">
        <v>64</v>
      </c>
      <c r="E38" s="218" t="str">
        <f>VLOOKUP(D38,Sheet1!B:C, 2, FALSE)</f>
        <v>D09530006VXWCB5</v>
      </c>
      <c r="F38" s="68">
        <v>103.42</v>
      </c>
      <c r="G38" s="46">
        <f>'March 2025'!F38</f>
        <v>1310</v>
      </c>
      <c r="H38" s="46">
        <f t="shared" si="0"/>
        <v>484.7</v>
      </c>
      <c r="I38" s="47">
        <f t="shared" si="1"/>
        <v>0.78663090571487515</v>
      </c>
      <c r="J38" s="48">
        <f t="shared" si="2"/>
        <v>258.55</v>
      </c>
      <c r="K38" s="48">
        <f t="shared" si="3"/>
        <v>318.21538461538466</v>
      </c>
      <c r="L38" s="48">
        <f t="shared" si="4"/>
        <v>413.68</v>
      </c>
    </row>
    <row r="39" spans="2:12" ht="18.75" customHeight="1" x14ac:dyDescent="0.25">
      <c r="B39" s="42" t="s">
        <v>65</v>
      </c>
      <c r="C39" s="43">
        <v>1</v>
      </c>
      <c r="D39" s="44" t="s">
        <v>66</v>
      </c>
      <c r="E39" s="218" t="str">
        <f>VLOOKUP(D39,Sheet1!B:C, 2, FALSE)</f>
        <v>D09530006VXWCX5</v>
      </c>
      <c r="F39" s="68">
        <v>135.51</v>
      </c>
      <c r="G39" s="46">
        <f>'March 2025'!F39</f>
        <v>1556.5</v>
      </c>
      <c r="H39" s="46">
        <f t="shared" si="0"/>
        <v>575.90499999999997</v>
      </c>
      <c r="I39" s="47">
        <f t="shared" si="1"/>
        <v>0.76470077530148206</v>
      </c>
      <c r="J39" s="48">
        <f t="shared" si="2"/>
        <v>338.77499999999998</v>
      </c>
      <c r="K39" s="48">
        <f t="shared" si="3"/>
        <v>416.9538461538462</v>
      </c>
      <c r="L39" s="48">
        <f t="shared" si="4"/>
        <v>542.04</v>
      </c>
    </row>
    <row r="40" spans="2:12" ht="18.75" customHeight="1" x14ac:dyDescent="0.25">
      <c r="B40" s="42" t="s">
        <v>67</v>
      </c>
      <c r="C40" s="43">
        <v>1</v>
      </c>
      <c r="D40" s="44" t="s">
        <v>68</v>
      </c>
      <c r="E40" s="218" t="str">
        <f>VLOOKUP(D40,Sheet1!B:C, 2, FALSE)</f>
        <v>D09530006VXWCB7</v>
      </c>
      <c r="F40" s="68">
        <v>103.42</v>
      </c>
      <c r="G40" s="46">
        <f>'March 2025'!F40</f>
        <v>1310</v>
      </c>
      <c r="H40" s="46">
        <f t="shared" si="0"/>
        <v>484.7</v>
      </c>
      <c r="I40" s="47">
        <f t="shared" si="1"/>
        <v>0.78663090571487515</v>
      </c>
      <c r="J40" s="48">
        <f t="shared" si="2"/>
        <v>258.55</v>
      </c>
      <c r="K40" s="48">
        <f t="shared" si="3"/>
        <v>318.21538461538466</v>
      </c>
      <c r="L40" s="48">
        <f t="shared" si="4"/>
        <v>413.68</v>
      </c>
    </row>
    <row r="41" spans="2:12" ht="18.75" customHeight="1" x14ac:dyDescent="0.25">
      <c r="B41" s="42" t="s">
        <v>69</v>
      </c>
      <c r="C41" s="43">
        <v>1</v>
      </c>
      <c r="D41" s="44" t="s">
        <v>70</v>
      </c>
      <c r="E41" s="218" t="str">
        <f>VLOOKUP(D41,Sheet1!B:C, 2, FALSE)</f>
        <v>D09530006VXWCX7</v>
      </c>
      <c r="F41" s="68">
        <v>135.51</v>
      </c>
      <c r="G41" s="46">
        <f>'March 2025'!F41</f>
        <v>1556.5</v>
      </c>
      <c r="H41" s="46">
        <f t="shared" si="0"/>
        <v>575.90499999999997</v>
      </c>
      <c r="I41" s="47">
        <f t="shared" si="1"/>
        <v>0.76470077530148206</v>
      </c>
      <c r="J41" s="48">
        <f t="shared" si="2"/>
        <v>338.77499999999998</v>
      </c>
      <c r="K41" s="48">
        <f t="shared" si="3"/>
        <v>416.9538461538462</v>
      </c>
      <c r="L41" s="48">
        <f t="shared" si="4"/>
        <v>542.04</v>
      </c>
    </row>
    <row r="42" spans="2:12" ht="18.75" customHeight="1" x14ac:dyDescent="0.25">
      <c r="B42" s="42" t="s">
        <v>71</v>
      </c>
      <c r="C42" s="43">
        <v>1</v>
      </c>
      <c r="D42" s="44" t="s">
        <v>72</v>
      </c>
      <c r="E42" s="218" t="str">
        <f>VLOOKUP(D42,Sheet1!B:C, 2, FALSE)</f>
        <v>D09530006VXWCB6</v>
      </c>
      <c r="F42" s="68">
        <v>103.42</v>
      </c>
      <c r="G42" s="46">
        <f>'March 2025'!F42</f>
        <v>1310</v>
      </c>
      <c r="H42" s="46">
        <f t="shared" si="0"/>
        <v>484.7</v>
      </c>
      <c r="I42" s="47">
        <f t="shared" si="1"/>
        <v>0.78663090571487515</v>
      </c>
      <c r="J42" s="48">
        <f t="shared" si="2"/>
        <v>258.55</v>
      </c>
      <c r="K42" s="48">
        <f t="shared" si="3"/>
        <v>318.21538461538466</v>
      </c>
      <c r="L42" s="48">
        <f t="shared" si="4"/>
        <v>413.68</v>
      </c>
    </row>
    <row r="43" spans="2:12" ht="18.75" customHeight="1" x14ac:dyDescent="0.25">
      <c r="B43" s="69" t="s">
        <v>73</v>
      </c>
      <c r="C43" s="70">
        <v>1</v>
      </c>
      <c r="D43" s="49" t="s">
        <v>74</v>
      </c>
      <c r="E43" s="218" t="str">
        <f>VLOOKUP(D43,Sheet1!B:C, 2, FALSE)</f>
        <v>D09530006VXWCX6</v>
      </c>
      <c r="F43" s="68">
        <v>135.51</v>
      </c>
      <c r="G43" s="46">
        <f>'March 2025'!F43</f>
        <v>1556.5</v>
      </c>
      <c r="H43" s="46">
        <f t="shared" si="0"/>
        <v>575.90499999999997</v>
      </c>
      <c r="I43" s="47">
        <f t="shared" si="1"/>
        <v>0.76470077530148206</v>
      </c>
      <c r="J43" s="48">
        <f t="shared" si="2"/>
        <v>338.77499999999998</v>
      </c>
      <c r="K43" s="48">
        <f t="shared" si="3"/>
        <v>416.9538461538462</v>
      </c>
      <c r="L43" s="48">
        <f t="shared" si="4"/>
        <v>542.04</v>
      </c>
    </row>
    <row r="44" spans="2:12" ht="18.75" customHeight="1" x14ac:dyDescent="0.25">
      <c r="B44" s="42" t="s">
        <v>75</v>
      </c>
      <c r="C44" s="71">
        <v>1</v>
      </c>
      <c r="D44" s="44" t="s">
        <v>76</v>
      </c>
      <c r="E44" s="218" t="str">
        <f>VLOOKUP(D44,Sheet1!B:C, 2, FALSE)</f>
        <v>K09530006VXWCB9</v>
      </c>
      <c r="F44" s="72">
        <v>114.8635</v>
      </c>
      <c r="G44" s="46">
        <f>'March 2025'!F44</f>
        <v>1310</v>
      </c>
      <c r="H44" s="46">
        <f t="shared" si="0"/>
        <v>484.7</v>
      </c>
      <c r="I44" s="47">
        <f t="shared" si="1"/>
        <v>0.7630214565710749</v>
      </c>
      <c r="J44" s="48">
        <f t="shared" si="2"/>
        <v>287.15875</v>
      </c>
      <c r="K44" s="48">
        <f t="shared" si="3"/>
        <v>353.42615384615391</v>
      </c>
      <c r="L44" s="48">
        <f t="shared" si="4"/>
        <v>459.45400000000001</v>
      </c>
    </row>
    <row r="45" spans="2:12" ht="18.75" customHeight="1" x14ac:dyDescent="0.25">
      <c r="B45" s="69" t="s">
        <v>77</v>
      </c>
      <c r="C45" s="74">
        <v>1</v>
      </c>
      <c r="D45" s="49" t="s">
        <v>78</v>
      </c>
      <c r="E45" s="218" t="str">
        <f>VLOOKUP(D45,Sheet1!B:C, 2, FALSE)</f>
        <v>K09530006VXWCX9</v>
      </c>
      <c r="F45" s="72">
        <v>148.80350000000001</v>
      </c>
      <c r="G45" s="46">
        <f>'March 2025'!F45</f>
        <v>1556.5</v>
      </c>
      <c r="H45" s="46">
        <f t="shared" si="0"/>
        <v>575.90499999999997</v>
      </c>
      <c r="I45" s="47">
        <f t="shared" si="1"/>
        <v>0.74161797518687977</v>
      </c>
      <c r="J45" s="48">
        <f t="shared" si="2"/>
        <v>372.00875000000002</v>
      </c>
      <c r="K45" s="48">
        <f t="shared" si="3"/>
        <v>457.85692307692318</v>
      </c>
      <c r="L45" s="48">
        <f t="shared" si="4"/>
        <v>595.21400000000006</v>
      </c>
    </row>
    <row r="46" spans="2:12" ht="18.75" customHeight="1" x14ac:dyDescent="0.25">
      <c r="B46" s="42" t="s">
        <v>79</v>
      </c>
      <c r="C46" s="70">
        <v>1</v>
      </c>
      <c r="D46" s="44" t="s">
        <v>80</v>
      </c>
      <c r="E46" s="218" t="str">
        <f>VLOOKUP(D46,Sheet1!B:C, 2, FALSE)</f>
        <v>K09530006VXWCB1</v>
      </c>
      <c r="F46" s="72">
        <v>114.8635</v>
      </c>
      <c r="G46" s="46">
        <f>'March 2025'!F46</f>
        <v>1310</v>
      </c>
      <c r="H46" s="46">
        <f t="shared" si="0"/>
        <v>484.7</v>
      </c>
      <c r="I46" s="47">
        <f t="shared" si="1"/>
        <v>0.7630214565710749</v>
      </c>
      <c r="J46" s="48">
        <f t="shared" si="2"/>
        <v>287.15875</v>
      </c>
      <c r="K46" s="48">
        <f t="shared" si="3"/>
        <v>353.42615384615391</v>
      </c>
      <c r="L46" s="48">
        <f t="shared" si="4"/>
        <v>459.45400000000001</v>
      </c>
    </row>
    <row r="47" spans="2:12" ht="18.75" customHeight="1" x14ac:dyDescent="0.25">
      <c r="B47" s="69" t="s">
        <v>81</v>
      </c>
      <c r="C47" s="71">
        <v>1</v>
      </c>
      <c r="D47" s="49" t="s">
        <v>82</v>
      </c>
      <c r="E47" s="218" t="str">
        <f>VLOOKUP(D47,Sheet1!B:C, 2, FALSE)</f>
        <v>K09530006VXWCX1</v>
      </c>
      <c r="F47" s="72">
        <v>148.80350000000001</v>
      </c>
      <c r="G47" s="46">
        <f>'March 2025'!F47</f>
        <v>1556.5</v>
      </c>
      <c r="H47" s="46">
        <f t="shared" si="0"/>
        <v>575.90499999999997</v>
      </c>
      <c r="I47" s="47">
        <f t="shared" si="1"/>
        <v>0.74161797518687977</v>
      </c>
      <c r="J47" s="48">
        <f t="shared" si="2"/>
        <v>372.00875000000002</v>
      </c>
      <c r="K47" s="48">
        <f t="shared" si="3"/>
        <v>457.85692307692318</v>
      </c>
      <c r="L47" s="48">
        <f t="shared" si="4"/>
        <v>595.21400000000006</v>
      </c>
    </row>
    <row r="48" spans="2:12" ht="18.75" customHeight="1" x14ac:dyDescent="0.25">
      <c r="B48" s="42" t="s">
        <v>83</v>
      </c>
      <c r="C48" s="71">
        <v>1</v>
      </c>
      <c r="D48" s="44" t="s">
        <v>84</v>
      </c>
      <c r="E48" s="218" t="str">
        <f>VLOOKUP(D48,Sheet1!B:C, 2, FALSE)</f>
        <v>K09530006VXWCB3</v>
      </c>
      <c r="F48" s="72">
        <v>114.8635</v>
      </c>
      <c r="G48" s="46">
        <f>'March 2025'!F48</f>
        <v>1310</v>
      </c>
      <c r="H48" s="46">
        <f t="shared" si="0"/>
        <v>484.7</v>
      </c>
      <c r="I48" s="47">
        <f t="shared" si="1"/>
        <v>0.7630214565710749</v>
      </c>
      <c r="J48" s="48">
        <f t="shared" si="2"/>
        <v>287.15875</v>
      </c>
      <c r="K48" s="48">
        <f t="shared" si="3"/>
        <v>353.42615384615391</v>
      </c>
      <c r="L48" s="48">
        <f t="shared" si="4"/>
        <v>459.45400000000001</v>
      </c>
    </row>
    <row r="49" spans="2:12" ht="15.75" thickBot="1" x14ac:dyDescent="0.3">
      <c r="B49" s="69" t="s">
        <v>85</v>
      </c>
      <c r="C49" s="76">
        <v>1</v>
      </c>
      <c r="D49" s="49" t="s">
        <v>86</v>
      </c>
      <c r="E49" s="218" t="str">
        <f>VLOOKUP(D49,Sheet1!B:C, 2, FALSE)</f>
        <v>K09530006VXWCX3</v>
      </c>
      <c r="F49" s="72">
        <v>148.80350000000001</v>
      </c>
      <c r="G49" s="46">
        <f>'March 2025'!F49</f>
        <v>1556.5</v>
      </c>
      <c r="H49" s="46">
        <f t="shared" si="0"/>
        <v>575.90499999999997</v>
      </c>
      <c r="I49" s="47">
        <f t="shared" si="1"/>
        <v>0.74161797518687977</v>
      </c>
      <c r="J49" s="48">
        <f t="shared" si="2"/>
        <v>372.00875000000002</v>
      </c>
      <c r="K49" s="48">
        <f t="shared" si="3"/>
        <v>457.85692307692318</v>
      </c>
      <c r="L49" s="48">
        <f t="shared" si="4"/>
        <v>595.21400000000006</v>
      </c>
    </row>
    <row r="50" spans="2:12" ht="18.75" customHeight="1" thickBot="1" x14ac:dyDescent="0.3">
      <c r="B50" s="204"/>
      <c r="C50" s="204"/>
      <c r="D50" s="204"/>
      <c r="E50" s="230"/>
      <c r="F50" s="204"/>
      <c r="G50" s="204"/>
      <c r="H50" s="204"/>
      <c r="I50" s="67"/>
      <c r="J50" s="48"/>
      <c r="K50" s="48"/>
      <c r="L50" s="48"/>
    </row>
    <row r="51" spans="2:12" ht="18.75" customHeight="1" thickBot="1" x14ac:dyDescent="0.3">
      <c r="B51" s="200" t="s">
        <v>87</v>
      </c>
      <c r="C51" s="200"/>
      <c r="D51" s="200"/>
      <c r="E51" s="226"/>
      <c r="F51" s="200"/>
      <c r="G51" s="200"/>
      <c r="H51" s="200"/>
      <c r="I51" s="51"/>
      <c r="J51" s="48"/>
      <c r="K51" s="48"/>
      <c r="L51" s="48"/>
    </row>
    <row r="52" spans="2:12" ht="18.75" customHeight="1" x14ac:dyDescent="0.25">
      <c r="B52" s="42" t="s">
        <v>88</v>
      </c>
      <c r="C52" s="43">
        <v>0.1</v>
      </c>
      <c r="D52" s="52" t="s">
        <v>89</v>
      </c>
      <c r="E52" s="218" t="str">
        <f>VLOOKUP(D52,Sheet1!B:C, 2, FALSE)</f>
        <v>D09550002VXMFBA</v>
      </c>
      <c r="F52" s="72">
        <v>4.26</v>
      </c>
      <c r="G52" s="46">
        <f>'March 2025'!F52</f>
        <v>24</v>
      </c>
      <c r="H52" s="46">
        <f t="shared" ref="H52:H58" si="5">G52*$H$5</f>
        <v>8.879999999999999</v>
      </c>
      <c r="I52" s="47">
        <f t="shared" ref="I52:I58" si="6">((H52-F52)/H52)</f>
        <v>0.52027027027027029</v>
      </c>
      <c r="J52" s="48">
        <f t="shared" ref="J52:J58" si="7">(($F52/(1-J$9)))</f>
        <v>10.649999999999999</v>
      </c>
      <c r="K52" s="48">
        <f t="shared" ref="K52:K58" si="8">(($F52/(1-$K$9)))</f>
        <v>13.107692307692309</v>
      </c>
      <c r="L52" s="48">
        <f t="shared" ref="L52:L58" si="9">(($F52/(1-L$9)))</f>
        <v>17.04</v>
      </c>
    </row>
    <row r="53" spans="2:12" ht="18.75" customHeight="1" x14ac:dyDescent="0.25">
      <c r="B53" s="42" t="s">
        <v>90</v>
      </c>
      <c r="C53" s="43">
        <v>0.4</v>
      </c>
      <c r="D53" s="44" t="s">
        <v>91</v>
      </c>
      <c r="E53" s="218" t="str">
        <f>VLOOKUP(D53,Sheet1!B:C, 2, FALSE)</f>
        <v>D09550310VXJICX</v>
      </c>
      <c r="F53" s="72">
        <v>67.512699999999995</v>
      </c>
      <c r="G53" s="46">
        <f>'March 2025'!F53</f>
        <v>397</v>
      </c>
      <c r="H53" s="46">
        <f t="shared" si="5"/>
        <v>146.88999999999999</v>
      </c>
      <c r="I53" s="47">
        <f t="shared" si="6"/>
        <v>0.54038600313159502</v>
      </c>
      <c r="J53" s="48">
        <f t="shared" si="7"/>
        <v>168.78174999999999</v>
      </c>
      <c r="K53" s="48">
        <f t="shared" si="8"/>
        <v>207.73138461538463</v>
      </c>
      <c r="L53" s="48">
        <f t="shared" si="9"/>
        <v>270.05079999999998</v>
      </c>
    </row>
    <row r="54" spans="2:12" ht="18.75" customHeight="1" x14ac:dyDescent="0.25">
      <c r="B54" s="42" t="s">
        <v>92</v>
      </c>
      <c r="C54" s="43">
        <v>0.4</v>
      </c>
      <c r="D54" s="44" t="s">
        <v>93</v>
      </c>
      <c r="E54" s="218" t="str">
        <f>VLOOKUP(D54,Sheet1!B:C, 2, FALSE)</f>
        <v>D09550360VXJICX</v>
      </c>
      <c r="F54" s="72">
        <v>76.17</v>
      </c>
      <c r="G54" s="46">
        <f>'March 2025'!F54</f>
        <v>597</v>
      </c>
      <c r="H54" s="46">
        <f t="shared" si="5"/>
        <v>220.89</v>
      </c>
      <c r="I54" s="47">
        <f t="shared" si="6"/>
        <v>0.65516773054461486</v>
      </c>
      <c r="J54" s="48">
        <f t="shared" si="7"/>
        <v>190.42499999999998</v>
      </c>
      <c r="K54" s="48">
        <f t="shared" si="8"/>
        <v>234.3692307692308</v>
      </c>
      <c r="L54" s="48">
        <f t="shared" si="9"/>
        <v>304.68</v>
      </c>
    </row>
    <row r="55" spans="2:12" ht="18.75" customHeight="1" x14ac:dyDescent="0.25">
      <c r="B55" s="42" t="s">
        <v>94</v>
      </c>
      <c r="C55" s="43">
        <v>1</v>
      </c>
      <c r="D55" s="44" t="s">
        <v>95</v>
      </c>
      <c r="E55" s="218" t="str">
        <f>VLOOKUP(D55,Sheet1!B:C, 2, FALSE)</f>
        <v>D09550480VXJICX</v>
      </c>
      <c r="F55" s="72">
        <v>107.544</v>
      </c>
      <c r="G55" s="46">
        <f>'March 2025'!F55</f>
        <v>694</v>
      </c>
      <c r="H55" s="46">
        <f t="shared" si="5"/>
        <v>256.77999999999997</v>
      </c>
      <c r="I55" s="47">
        <f t="shared" si="6"/>
        <v>0.58118233507282502</v>
      </c>
      <c r="J55" s="48">
        <f t="shared" si="7"/>
        <v>268.85999999999996</v>
      </c>
      <c r="K55" s="48">
        <f t="shared" si="8"/>
        <v>330.9046153846154</v>
      </c>
      <c r="L55" s="48">
        <f t="shared" si="9"/>
        <v>430.17599999999999</v>
      </c>
    </row>
    <row r="56" spans="2:12" ht="18.75" customHeight="1" x14ac:dyDescent="0.25">
      <c r="B56" s="42" t="s">
        <v>96</v>
      </c>
      <c r="C56" s="43">
        <v>0.1</v>
      </c>
      <c r="D56" s="44" t="s">
        <v>97</v>
      </c>
      <c r="E56" s="218" t="str">
        <f>VLOOKUP(D56,Sheet1!B:C, 2, FALSE)</f>
        <v>D09550000VXBSEN</v>
      </c>
      <c r="F56" s="72">
        <v>1.1299999999999999</v>
      </c>
      <c r="G56" s="46">
        <f>'March 2025'!F56</f>
        <v>9.5</v>
      </c>
      <c r="H56" s="46">
        <f t="shared" si="5"/>
        <v>3.5150000000000001</v>
      </c>
      <c r="I56" s="47">
        <f t="shared" si="6"/>
        <v>0.67852062588904694</v>
      </c>
      <c r="J56" s="48">
        <f t="shared" si="7"/>
        <v>2.8249999999999997</v>
      </c>
      <c r="K56" s="48">
        <f t="shared" si="8"/>
        <v>3.476923076923077</v>
      </c>
      <c r="L56" s="48">
        <f t="shared" si="9"/>
        <v>4.5199999999999996</v>
      </c>
    </row>
    <row r="57" spans="2:12" ht="18.75" customHeight="1" x14ac:dyDescent="0.25">
      <c r="B57" s="42" t="s">
        <v>98</v>
      </c>
      <c r="C57" s="43">
        <v>0.1</v>
      </c>
      <c r="D57" s="44" t="s">
        <v>99</v>
      </c>
      <c r="E57" s="218" t="str">
        <f>VLOOKUP(D57,Sheet1!B:C, 2, FALSE)</f>
        <v>D09530002TEVXE9</v>
      </c>
      <c r="F57" s="72">
        <v>2.92</v>
      </c>
      <c r="G57" s="46">
        <f>'March 2025'!F57</f>
        <v>24</v>
      </c>
      <c r="H57" s="46">
        <f t="shared" si="5"/>
        <v>8.879999999999999</v>
      </c>
      <c r="I57" s="47">
        <f t="shared" si="6"/>
        <v>0.67117117117117109</v>
      </c>
      <c r="J57" s="48">
        <f t="shared" si="7"/>
        <v>7.3</v>
      </c>
      <c r="K57" s="48">
        <f t="shared" si="8"/>
        <v>8.9846153846153864</v>
      </c>
      <c r="L57" s="48">
        <f t="shared" si="9"/>
        <v>11.68</v>
      </c>
    </row>
    <row r="58" spans="2:12" ht="18.75" customHeight="1" thickBot="1" x14ac:dyDescent="0.3">
      <c r="B58" s="42" t="s">
        <v>100</v>
      </c>
      <c r="C58" s="43">
        <v>0.1</v>
      </c>
      <c r="D58" s="44" t="s">
        <v>101</v>
      </c>
      <c r="E58" s="218" t="str">
        <f>VLOOKUP(D58,Sheet1!B:C, 2, FALSE)</f>
        <v>D09530002TEVXAB</v>
      </c>
      <c r="F58" s="72">
        <v>2.19</v>
      </c>
      <c r="G58" s="46">
        <f>'March 2025'!F58</f>
        <v>18.5</v>
      </c>
      <c r="H58" s="46">
        <f t="shared" si="5"/>
        <v>6.8449999999999998</v>
      </c>
      <c r="I58" s="47">
        <f t="shared" si="6"/>
        <v>0.68005843681519351</v>
      </c>
      <c r="J58" s="48">
        <f t="shared" si="7"/>
        <v>5.4749999999999996</v>
      </c>
      <c r="K58" s="48">
        <f t="shared" si="8"/>
        <v>6.7384615384615394</v>
      </c>
      <c r="L58" s="48">
        <f t="shared" si="9"/>
        <v>8.76</v>
      </c>
    </row>
    <row r="59" spans="2:12" ht="18.75" customHeight="1" thickBot="1" x14ac:dyDescent="0.3">
      <c r="B59" s="205"/>
      <c r="C59" s="205"/>
      <c r="D59" s="205"/>
      <c r="E59" s="231"/>
      <c r="F59" s="205"/>
      <c r="G59" s="205"/>
      <c r="H59" s="205"/>
      <c r="I59" s="77"/>
      <c r="J59" s="48"/>
      <c r="K59" s="48"/>
      <c r="L59" s="48"/>
    </row>
    <row r="60" spans="2:12" ht="18.75" customHeight="1" thickBot="1" x14ac:dyDescent="0.3">
      <c r="B60" s="198" t="s">
        <v>102</v>
      </c>
      <c r="C60" s="198"/>
      <c r="D60" s="198"/>
      <c r="E60" s="224"/>
      <c r="F60" s="198"/>
      <c r="G60" s="198"/>
      <c r="H60" s="198"/>
      <c r="I60" s="40"/>
      <c r="J60" s="48"/>
      <c r="K60" s="48"/>
      <c r="L60" s="48"/>
    </row>
    <row r="61" spans="2:12" ht="18.75" customHeight="1" thickBot="1" x14ac:dyDescent="0.3">
      <c r="B61" s="200" t="s">
        <v>103</v>
      </c>
      <c r="C61" s="200"/>
      <c r="D61" s="200"/>
      <c r="E61" s="226"/>
      <c r="F61" s="200"/>
      <c r="G61" s="200"/>
      <c r="H61" s="200"/>
      <c r="I61" s="51"/>
      <c r="J61" s="48"/>
      <c r="K61" s="48"/>
      <c r="L61" s="48"/>
    </row>
    <row r="62" spans="2:12" ht="18.75" customHeight="1" x14ac:dyDescent="0.25">
      <c r="B62" s="206" t="s">
        <v>104</v>
      </c>
      <c r="C62" s="206"/>
      <c r="D62" s="206"/>
      <c r="E62" s="232"/>
      <c r="F62" s="206"/>
      <c r="G62" s="206"/>
      <c r="H62" s="206"/>
      <c r="I62" s="78"/>
      <c r="J62" s="48"/>
      <c r="K62" s="48"/>
      <c r="L62" s="48"/>
    </row>
    <row r="63" spans="2:12" ht="18.75" customHeight="1" x14ac:dyDescent="0.25">
      <c r="B63" s="42" t="s">
        <v>105</v>
      </c>
      <c r="C63" s="43">
        <v>170</v>
      </c>
      <c r="D63" s="52" t="s">
        <v>106</v>
      </c>
      <c r="E63" s="218" t="str">
        <f>VLOOKUP(D63,Sheet1!B:C, 2, FALSE)</f>
        <v>D09510010VX3DC1</v>
      </c>
      <c r="F63" s="45">
        <v>3997.8517700000002</v>
      </c>
      <c r="G63" s="46">
        <f>'March 2025'!F63</f>
        <v>45814</v>
      </c>
      <c r="H63" s="80">
        <f>G63*$H$5</f>
        <v>16951.18</v>
      </c>
      <c r="I63" s="47">
        <f>((H63-F63)/H63)</f>
        <v>0.7641549573540013</v>
      </c>
      <c r="J63" s="48">
        <f>(($F63/(1-J$9)))</f>
        <v>9994.6294249999992</v>
      </c>
      <c r="K63" s="48">
        <f>(($F63/(1-$K$9)))</f>
        <v>12301.082369230771</v>
      </c>
      <c r="L63" s="48">
        <f>(($F63/(1-L$9)))</f>
        <v>15991.407080000001</v>
      </c>
    </row>
    <row r="64" spans="2:12" ht="18.75" customHeight="1" x14ac:dyDescent="0.25">
      <c r="B64" s="42" t="s">
        <v>107</v>
      </c>
      <c r="C64" s="43">
        <v>170</v>
      </c>
      <c r="D64" s="44" t="s">
        <v>108</v>
      </c>
      <c r="E64" s="218" t="str">
        <f>VLOOKUP(D64,Sheet1!B:C, 2, FALSE)</f>
        <v>D09510010VX3ARC</v>
      </c>
      <c r="F64" s="55">
        <v>4014.89</v>
      </c>
      <c r="G64" s="46">
        <f>'March 2025'!F64</f>
        <v>46009</v>
      </c>
      <c r="H64" s="80">
        <f>G64*$H$5</f>
        <v>17023.329999999998</v>
      </c>
      <c r="I64" s="47">
        <f>((H64-F64)/H64)</f>
        <v>0.76415366441230947</v>
      </c>
      <c r="J64" s="48">
        <f>(($F64/(1-J$9)))</f>
        <v>10037.224999999999</v>
      </c>
      <c r="K64" s="48">
        <f>(($F64/(1-$K$9)))</f>
        <v>12353.507692307694</v>
      </c>
      <c r="L64" s="48">
        <f>(($F64/(1-L$9)))</f>
        <v>16059.56</v>
      </c>
    </row>
    <row r="65" spans="2:12" ht="18.75" customHeight="1" x14ac:dyDescent="0.25">
      <c r="B65" s="207" t="s">
        <v>109</v>
      </c>
      <c r="C65" s="207"/>
      <c r="D65" s="207"/>
      <c r="E65" s="233"/>
      <c r="F65" s="207"/>
      <c r="G65" s="207"/>
      <c r="H65" s="207"/>
      <c r="I65" s="47"/>
      <c r="J65" s="48"/>
      <c r="K65" s="48"/>
      <c r="L65" s="48"/>
    </row>
    <row r="66" spans="2:12" ht="18.75" customHeight="1" x14ac:dyDescent="0.25">
      <c r="B66" s="42" t="s">
        <v>110</v>
      </c>
      <c r="C66" s="43">
        <v>180</v>
      </c>
      <c r="D66" s="44" t="s">
        <v>111</v>
      </c>
      <c r="E66" s="218" t="str">
        <f>VLOOKUP(D66,Sheet1!B:C, 2, FALSE)</f>
        <v>D09510014VX3DCC</v>
      </c>
      <c r="F66" s="45">
        <v>4207.9399999999996</v>
      </c>
      <c r="G66" s="46">
        <f>'March 2025'!F66</f>
        <v>48221</v>
      </c>
      <c r="H66" s="46">
        <f>G66*$H$5</f>
        <v>17841.77</v>
      </c>
      <c r="I66" s="47">
        <f>((H66-F66)/H66)</f>
        <v>0.76415232345221362</v>
      </c>
      <c r="J66" s="48">
        <f>(($F66/(1-J$9)))</f>
        <v>10519.849999999999</v>
      </c>
      <c r="K66" s="48">
        <f>(($F66/(1-$K$9)))</f>
        <v>12947.507692307692</v>
      </c>
      <c r="L66" s="48">
        <f>(($F66/(1-L$9)))</f>
        <v>16831.759999999998</v>
      </c>
    </row>
    <row r="67" spans="2:12" ht="18.75" customHeight="1" thickBot="1" x14ac:dyDescent="0.3">
      <c r="B67" s="42" t="s">
        <v>112</v>
      </c>
      <c r="C67" s="43">
        <v>180</v>
      </c>
      <c r="D67" s="44" t="s">
        <v>113</v>
      </c>
      <c r="E67" s="218" t="str">
        <f>VLOOKUP(D67,Sheet1!B:C, 2, FALSE)</f>
        <v>D09510014VX3ARC</v>
      </c>
      <c r="F67" s="45">
        <v>4208.4399999999996</v>
      </c>
      <c r="G67" s="46">
        <f>'March 2025'!F67</f>
        <v>48227</v>
      </c>
      <c r="H67" s="46">
        <f>G67*$H$5</f>
        <v>17843.990000000002</v>
      </c>
      <c r="I67" s="47">
        <f>((H67-F67)/H67)</f>
        <v>0.7641536450087677</v>
      </c>
      <c r="J67" s="48">
        <f>(($F67/(1-J$9)))</f>
        <v>10521.099999999999</v>
      </c>
      <c r="K67" s="48">
        <f>(($F67/(1-$K$9)))</f>
        <v>12949.046153846155</v>
      </c>
      <c r="L67" s="48">
        <f>(($F67/(1-L$9)))</f>
        <v>16833.759999999998</v>
      </c>
    </row>
    <row r="68" spans="2:12" ht="18.75" customHeight="1" thickBot="1" x14ac:dyDescent="0.3">
      <c r="B68" s="208" t="s">
        <v>114</v>
      </c>
      <c r="C68" s="208"/>
      <c r="D68" s="208"/>
      <c r="E68" s="234"/>
      <c r="F68" s="208"/>
      <c r="G68" s="208"/>
      <c r="H68" s="208"/>
      <c r="I68" s="81"/>
      <c r="J68" s="48"/>
      <c r="K68" s="48"/>
      <c r="L68" s="48"/>
    </row>
    <row r="69" spans="2:12" ht="18.75" customHeight="1" thickBot="1" x14ac:dyDescent="0.3">
      <c r="B69" s="209"/>
      <c r="C69" s="209"/>
      <c r="D69" s="209"/>
      <c r="E69" s="235"/>
      <c r="F69" s="209"/>
      <c r="G69" s="209"/>
      <c r="H69" s="209"/>
      <c r="I69" s="82"/>
      <c r="J69" s="48"/>
      <c r="K69" s="48"/>
      <c r="L69" s="48"/>
    </row>
    <row r="70" spans="2:12" ht="18.75" customHeight="1" thickBot="1" x14ac:dyDescent="0.3">
      <c r="B70" s="199" t="s">
        <v>115</v>
      </c>
      <c r="C70" s="199"/>
      <c r="D70" s="199"/>
      <c r="E70" s="225"/>
      <c r="F70" s="199"/>
      <c r="G70" s="199"/>
      <c r="H70" s="199"/>
      <c r="I70" s="41"/>
      <c r="J70" s="48"/>
      <c r="K70" s="48"/>
      <c r="L70" s="48"/>
    </row>
    <row r="71" spans="2:12" ht="18.75" customHeight="1" thickBot="1" x14ac:dyDescent="0.3">
      <c r="B71" s="210" t="s">
        <v>104</v>
      </c>
      <c r="C71" s="210"/>
      <c r="D71" s="210"/>
      <c r="E71" s="236"/>
      <c r="F71" s="210"/>
      <c r="G71" s="210"/>
      <c r="H71" s="210"/>
      <c r="I71" s="78"/>
      <c r="J71" s="48"/>
      <c r="K71" s="48"/>
      <c r="L71" s="48"/>
    </row>
    <row r="72" spans="2:12" ht="18.75" customHeight="1" x14ac:dyDescent="0.25">
      <c r="B72" s="42" t="s">
        <v>116</v>
      </c>
      <c r="C72" s="43">
        <v>130</v>
      </c>
      <c r="D72" s="52" t="s">
        <v>117</v>
      </c>
      <c r="E72" s="218" t="str">
        <f>VLOOKUP(D72,Sheet1!B:C, 2, FALSE)</f>
        <v>D09510010VX3DC2</v>
      </c>
      <c r="F72" s="45">
        <v>2813.51</v>
      </c>
      <c r="G72" s="46">
        <f>'March 2025'!F72</f>
        <v>32241.5</v>
      </c>
      <c r="H72" s="46">
        <f>G72*$H$5</f>
        <v>11929.355</v>
      </c>
      <c r="I72" s="47">
        <f>((H72-F72)/H72)</f>
        <v>0.76415237873296582</v>
      </c>
      <c r="J72" s="48">
        <f>(($F72/(1-J$9)))</f>
        <v>7033.7750000000005</v>
      </c>
      <c r="K72" s="48">
        <f>(($F72/(1-$K$9)))</f>
        <v>8656.9538461538486</v>
      </c>
      <c r="L72" s="48">
        <f>(($F72/(1-L$9)))</f>
        <v>11254.04</v>
      </c>
    </row>
    <row r="73" spans="2:12" ht="18.75" customHeight="1" x14ac:dyDescent="0.25">
      <c r="B73" s="42" t="s">
        <v>118</v>
      </c>
      <c r="C73" s="43">
        <v>130</v>
      </c>
      <c r="D73" s="44" t="s">
        <v>119</v>
      </c>
      <c r="E73" s="218" t="str">
        <f>VLOOKUP(D73,Sheet1!B:C, 2, FALSE)</f>
        <v>D09510010VX3ARF</v>
      </c>
      <c r="F73" s="45">
        <v>3016.09</v>
      </c>
      <c r="G73" s="46">
        <f>'March 2025'!F73</f>
        <v>34563</v>
      </c>
      <c r="H73" s="46">
        <f>G73*$H$5</f>
        <v>12788.31</v>
      </c>
      <c r="I73" s="47">
        <f>((H73-F73)/H73)</f>
        <v>0.76415257371771561</v>
      </c>
      <c r="J73" s="48">
        <f>(($F73/(1-J$9)))</f>
        <v>7540.2250000000004</v>
      </c>
      <c r="K73" s="48">
        <f>(($F73/(1-$K$9)))</f>
        <v>9280.2769230769245</v>
      </c>
      <c r="L73" s="48">
        <f>(($F73/(1-L$9)))</f>
        <v>12064.36</v>
      </c>
    </row>
    <row r="74" spans="2:12" ht="18.75" customHeight="1" x14ac:dyDescent="0.25">
      <c r="B74" s="207" t="s">
        <v>109</v>
      </c>
      <c r="C74" s="207"/>
      <c r="D74" s="207"/>
      <c r="E74" s="233"/>
      <c r="F74" s="207"/>
      <c r="G74" s="207"/>
      <c r="H74" s="207"/>
      <c r="I74" s="78"/>
      <c r="J74" s="48"/>
      <c r="K74" s="48"/>
      <c r="L74" s="48"/>
    </row>
    <row r="75" spans="2:12" ht="18.75" customHeight="1" x14ac:dyDescent="0.25">
      <c r="B75" s="42" t="s">
        <v>120</v>
      </c>
      <c r="C75" s="43">
        <v>140</v>
      </c>
      <c r="D75" s="44" t="s">
        <v>121</v>
      </c>
      <c r="E75" s="218" t="str">
        <f>VLOOKUP(D75,Sheet1!B:C, 2, FALSE)</f>
        <v>D09510014VX3DCF</v>
      </c>
      <c r="F75" s="45">
        <v>3007.06</v>
      </c>
      <c r="G75" s="46">
        <f>'March 2025'!F75</f>
        <v>34460</v>
      </c>
      <c r="H75" s="46">
        <f>G75*$H$5</f>
        <v>12750.2</v>
      </c>
      <c r="I75" s="47">
        <f>((H75-F75)/H75)</f>
        <v>0.76415585637872352</v>
      </c>
      <c r="J75" s="48">
        <f>(($F75/(1-J$9)))</f>
        <v>7517.65</v>
      </c>
      <c r="K75" s="48">
        <f>(($F75/(1-$K$9)))</f>
        <v>9252.4923076923096</v>
      </c>
      <c r="L75" s="48">
        <f>(($F75/(1-L$9)))</f>
        <v>12028.24</v>
      </c>
    </row>
    <row r="76" spans="2:12" ht="18.75" customHeight="1" x14ac:dyDescent="0.25">
      <c r="B76" s="42" t="s">
        <v>122</v>
      </c>
      <c r="C76" s="43">
        <v>140</v>
      </c>
      <c r="D76" s="44" t="s">
        <v>123</v>
      </c>
      <c r="E76" s="218" t="str">
        <f>VLOOKUP(D76,Sheet1!B:C, 2, FALSE)</f>
        <v>D09510014VX3ARF</v>
      </c>
      <c r="F76" s="45">
        <v>3105.65</v>
      </c>
      <c r="G76" s="46">
        <f>'March 2025'!F76</f>
        <v>35589.5</v>
      </c>
      <c r="H76" s="46">
        <f>G76*$H$5</f>
        <v>13168.115</v>
      </c>
      <c r="I76" s="47">
        <f>((H76-F76)/H76)</f>
        <v>0.76415379118423554</v>
      </c>
      <c r="J76" s="48">
        <f>(($F76/(1-J$9)))</f>
        <v>7764.125</v>
      </c>
      <c r="K76" s="48">
        <f>(($F76/(1-$K$9)))</f>
        <v>9555.8461538461561</v>
      </c>
      <c r="L76" s="48">
        <f>(($F76/(1-L$9)))</f>
        <v>12422.6</v>
      </c>
    </row>
    <row r="77" spans="2:12" ht="18.75" customHeight="1" thickBot="1" x14ac:dyDescent="0.3">
      <c r="B77" s="211" t="s">
        <v>124</v>
      </c>
      <c r="C77" s="211"/>
      <c r="D77" s="211"/>
      <c r="E77" s="237"/>
      <c r="F77" s="211"/>
      <c r="G77" s="211"/>
      <c r="H77" s="211"/>
      <c r="I77" s="83"/>
      <c r="J77" s="48"/>
      <c r="K77" s="48"/>
      <c r="L77" s="48"/>
    </row>
    <row r="78" spans="2:12" ht="18.75" customHeight="1" thickBot="1" x14ac:dyDescent="0.3">
      <c r="B78" s="212"/>
      <c r="C78" s="212"/>
      <c r="D78" s="212"/>
      <c r="E78" s="238"/>
      <c r="F78" s="212"/>
      <c r="G78" s="212"/>
      <c r="H78" s="212"/>
      <c r="I78" s="84"/>
      <c r="J78" s="48"/>
      <c r="K78" s="48"/>
      <c r="L78" s="48"/>
    </row>
    <row r="79" spans="2:12" ht="18.75" customHeight="1" thickBot="1" x14ac:dyDescent="0.3">
      <c r="B79" s="199" t="s">
        <v>125</v>
      </c>
      <c r="C79" s="199"/>
      <c r="D79" s="199"/>
      <c r="E79" s="225"/>
      <c r="F79" s="199"/>
      <c r="G79" s="199"/>
      <c r="H79" s="199"/>
      <c r="I79" s="41"/>
      <c r="J79" s="48"/>
      <c r="K79" s="48"/>
      <c r="L79" s="48"/>
    </row>
    <row r="80" spans="2:12" ht="18.75" customHeight="1" x14ac:dyDescent="0.25">
      <c r="B80" s="206" t="s">
        <v>109</v>
      </c>
      <c r="C80" s="206"/>
      <c r="D80" s="206"/>
      <c r="E80" s="232"/>
      <c r="F80" s="206"/>
      <c r="G80" s="206"/>
      <c r="H80" s="206"/>
      <c r="I80" s="78"/>
      <c r="J80" s="48"/>
      <c r="K80" s="48"/>
      <c r="L80" s="48"/>
    </row>
    <row r="81" spans="2:12" ht="18.75" customHeight="1" x14ac:dyDescent="0.25">
      <c r="B81" s="42" t="s">
        <v>126</v>
      </c>
      <c r="C81" s="43">
        <v>150</v>
      </c>
      <c r="D81" s="44" t="s">
        <v>456</v>
      </c>
      <c r="E81" s="218" t="str">
        <f>VLOOKUP(D81,Sheet1!B:C, 2, FALSE)</f>
        <v>D09510014VX3DCZ</v>
      </c>
      <c r="F81" s="45">
        <v>2114.9299999999998</v>
      </c>
      <c r="G81" s="46">
        <f>'March 2025'!F81</f>
        <v>24236.5</v>
      </c>
      <c r="H81" s="46">
        <f>G81*$H$5</f>
        <v>8967.5049999999992</v>
      </c>
      <c r="I81" s="47">
        <f>((H81-F81)/H81)</f>
        <v>0.76415625081892891</v>
      </c>
      <c r="J81" s="48">
        <f>(($F81/(1-J$9)))</f>
        <v>5287.3249999999989</v>
      </c>
      <c r="K81" s="48">
        <f>(($F81/(1-$K$9)))</f>
        <v>6507.4769230769234</v>
      </c>
      <c r="L81" s="48">
        <f>(($F81/(1-L$9)))</f>
        <v>8459.7199999999993</v>
      </c>
    </row>
    <row r="82" spans="2:12" ht="18.75" customHeight="1" x14ac:dyDescent="0.25">
      <c r="B82" s="207" t="s">
        <v>127</v>
      </c>
      <c r="C82" s="207"/>
      <c r="D82" s="207"/>
      <c r="E82" s="233"/>
      <c r="F82" s="207"/>
      <c r="G82" s="207"/>
      <c r="H82" s="207"/>
      <c r="I82" s="78"/>
      <c r="J82" s="48"/>
      <c r="K82" s="48"/>
      <c r="L82" s="48"/>
    </row>
    <row r="83" spans="2:12" ht="18.75" customHeight="1" thickBot="1" x14ac:dyDescent="0.3">
      <c r="B83" s="42" t="s">
        <v>128</v>
      </c>
      <c r="C83" s="43">
        <v>150</v>
      </c>
      <c r="D83" s="44" t="s">
        <v>129</v>
      </c>
      <c r="E83" s="218" t="str">
        <f>VLOOKUP(D83,Sheet1!B:C, 2, FALSE)</f>
        <v>D09510020VX3DCZ</v>
      </c>
      <c r="F83" s="45">
        <v>2433.5</v>
      </c>
      <c r="G83" s="46">
        <f>'March 2025'!F83</f>
        <v>27887.5</v>
      </c>
      <c r="H83" s="46">
        <f>G83*$H$5</f>
        <v>10318.375</v>
      </c>
      <c r="I83" s="47">
        <f>((H83-F83)/H83)</f>
        <v>0.76415860055483542</v>
      </c>
      <c r="J83" s="48">
        <f>(($F83/(1-J$9)))</f>
        <v>6083.75</v>
      </c>
      <c r="K83" s="48">
        <f>(($F83/(1-$K$9)))</f>
        <v>7487.6923076923085</v>
      </c>
      <c r="L83" s="48">
        <f>(($F83/(1-L$9)))</f>
        <v>9734</v>
      </c>
    </row>
    <row r="84" spans="2:12" ht="18.75" customHeight="1" thickBot="1" x14ac:dyDescent="0.3">
      <c r="B84" s="200" t="s">
        <v>130</v>
      </c>
      <c r="C84" s="200"/>
      <c r="D84" s="200"/>
      <c r="E84" s="226"/>
      <c r="F84" s="200"/>
      <c r="G84" s="200"/>
      <c r="H84" s="200"/>
      <c r="I84" s="51"/>
      <c r="J84" s="48"/>
      <c r="K84" s="48"/>
      <c r="L84" s="48"/>
    </row>
    <row r="85" spans="2:12" ht="18.75" customHeight="1" x14ac:dyDescent="0.25">
      <c r="B85" s="42" t="s">
        <v>131</v>
      </c>
      <c r="C85" s="43">
        <v>1</v>
      </c>
      <c r="D85" s="85" t="s">
        <v>132</v>
      </c>
      <c r="E85" s="218" t="str">
        <f>VLOOKUP(D85,Sheet1!B:C, 2, FALSE)</f>
        <v>D09510000VXPT0D</v>
      </c>
      <c r="F85" s="68">
        <v>125.48</v>
      </c>
      <c r="G85" s="46">
        <f>'March 2025'!F85</f>
        <v>1950.5</v>
      </c>
      <c r="H85" s="46">
        <f>G85*$H$5</f>
        <v>721.68499999999995</v>
      </c>
      <c r="I85" s="47">
        <f>((H85-F85)/H85)</f>
        <v>0.82612912835932573</v>
      </c>
      <c r="J85" s="48">
        <f>(($F85/(1-J$9)))</f>
        <v>313.7</v>
      </c>
      <c r="K85" s="48">
        <f>(($F85/(1-$K$9)))</f>
        <v>386.09230769230777</v>
      </c>
      <c r="L85" s="48">
        <f>(($F85/(1-L$9)))</f>
        <v>501.92</v>
      </c>
    </row>
    <row r="86" spans="2:12" ht="18.75" customHeight="1" thickBot="1" x14ac:dyDescent="0.3">
      <c r="B86" s="42" t="s">
        <v>133</v>
      </c>
      <c r="C86" s="43">
        <v>1</v>
      </c>
      <c r="D86" s="85" t="s">
        <v>134</v>
      </c>
      <c r="E86" s="218" t="str">
        <f>VLOOKUP(D86,Sheet1!B:C, 2, FALSE)</f>
        <v>D09510000VXTRVP</v>
      </c>
      <c r="F86" s="68">
        <v>761.6</v>
      </c>
      <c r="G86" s="46">
        <f>'March 2025'!F86</f>
        <v>4599</v>
      </c>
      <c r="H86" s="46">
        <f>G86*$H$5</f>
        <v>1701.6299999999999</v>
      </c>
      <c r="I86" s="47">
        <f>((H86-F86)/H86)</f>
        <v>0.55242914147023736</v>
      </c>
      <c r="J86" s="48">
        <f>(($F86/(1-J$9)))</f>
        <v>1904</v>
      </c>
      <c r="K86" s="48">
        <f>(($F86/(1-$K$9)))</f>
        <v>2343.3846153846157</v>
      </c>
      <c r="L86" s="48">
        <f>(($F86/(1-L$9)))</f>
        <v>3046.4</v>
      </c>
    </row>
    <row r="87" spans="2:12" ht="18.75" customHeight="1" thickBot="1" x14ac:dyDescent="0.3">
      <c r="B87" s="200"/>
      <c r="C87" s="200"/>
      <c r="D87" s="200"/>
      <c r="E87" s="226"/>
      <c r="F87" s="200"/>
      <c r="G87" s="200"/>
      <c r="H87" s="200"/>
      <c r="I87" s="51"/>
      <c r="J87" s="48"/>
      <c r="K87" s="48"/>
      <c r="L87" s="48"/>
    </row>
    <row r="88" spans="2:12" ht="18.75" customHeight="1" thickBot="1" x14ac:dyDescent="0.3">
      <c r="B88" s="200" t="s">
        <v>135</v>
      </c>
      <c r="C88" s="200"/>
      <c r="D88" s="200"/>
      <c r="E88" s="226"/>
      <c r="F88" s="200"/>
      <c r="G88" s="200"/>
      <c r="H88" s="200"/>
      <c r="I88" s="51"/>
      <c r="J88" s="48"/>
      <c r="K88" s="48"/>
      <c r="L88" s="48"/>
    </row>
    <row r="89" spans="2:12" ht="18.75" customHeight="1" x14ac:dyDescent="0.25">
      <c r="B89" s="42" t="s">
        <v>136</v>
      </c>
      <c r="C89" s="43">
        <v>0.1</v>
      </c>
      <c r="D89" s="85" t="s">
        <v>137</v>
      </c>
      <c r="E89" s="219" t="s">
        <v>1926</v>
      </c>
      <c r="F89" s="86">
        <v>5.23</v>
      </c>
      <c r="G89" s="46">
        <f>'March 2025'!F89</f>
        <v>58.5</v>
      </c>
      <c r="H89" s="46">
        <f>G89*$H$5</f>
        <v>21.645</v>
      </c>
      <c r="I89" s="47">
        <f>((H89-F89)/H89)</f>
        <v>0.75837375837375831</v>
      </c>
      <c r="J89" s="48">
        <f>(($F89/(1-J$9)))</f>
        <v>13.075000000000001</v>
      </c>
      <c r="K89" s="48">
        <f>(($F89/(1-$K$9)))</f>
        <v>16.092307692307696</v>
      </c>
      <c r="L89" s="48">
        <f>(($F89/(1-L$9)))</f>
        <v>20.92</v>
      </c>
    </row>
    <row r="90" spans="2:12" ht="18.75" customHeight="1" x14ac:dyDescent="0.25">
      <c r="B90" s="42" t="s">
        <v>138</v>
      </c>
      <c r="C90" s="43">
        <v>0.1</v>
      </c>
      <c r="D90" s="85" t="s">
        <v>139</v>
      </c>
      <c r="E90" s="219" t="s">
        <v>1927</v>
      </c>
      <c r="F90" s="86">
        <v>5.23</v>
      </c>
      <c r="G90" s="46">
        <f>'March 2025'!F90</f>
        <v>58.5</v>
      </c>
      <c r="H90" s="46">
        <f>G90*$H$5</f>
        <v>21.645</v>
      </c>
      <c r="I90" s="47">
        <f>((H90-F90)/H90)</f>
        <v>0.75837375837375831</v>
      </c>
      <c r="J90" s="48">
        <f>(($F90/(1-J$9)))</f>
        <v>13.075000000000001</v>
      </c>
      <c r="K90" s="48">
        <f>(($F90/(1-$K$9)))</f>
        <v>16.092307692307696</v>
      </c>
      <c r="L90" s="48">
        <f>(($F90/(1-L$9)))</f>
        <v>20.92</v>
      </c>
    </row>
    <row r="91" spans="2:12" ht="18.75" customHeight="1" x14ac:dyDescent="0.25">
      <c r="B91" s="42" t="s">
        <v>140</v>
      </c>
      <c r="C91" s="43">
        <v>0.1</v>
      </c>
      <c r="D91" s="85" t="s">
        <v>141</v>
      </c>
      <c r="E91" s="219" t="s">
        <v>1928</v>
      </c>
      <c r="F91" s="86">
        <v>5.23</v>
      </c>
      <c r="G91" s="46">
        <f>'March 2025'!F91</f>
        <v>58.5</v>
      </c>
      <c r="H91" s="46">
        <f>G91*$H$5</f>
        <v>21.645</v>
      </c>
      <c r="I91" s="47">
        <f>((H91-F91)/H91)</f>
        <v>0.75837375837375831</v>
      </c>
      <c r="J91" s="48">
        <f>(($F91/(1-J$9)))</f>
        <v>13.075000000000001</v>
      </c>
      <c r="K91" s="48">
        <f>(($F91/(1-$K$9)))</f>
        <v>16.092307692307696</v>
      </c>
      <c r="L91" s="48">
        <f>(($F91/(1-L$9)))</f>
        <v>20.92</v>
      </c>
    </row>
    <row r="92" spans="2:12" ht="18.75" customHeight="1" x14ac:dyDescent="0.25">
      <c r="B92" s="87" t="s">
        <v>143</v>
      </c>
      <c r="C92" s="88">
        <v>0.1</v>
      </c>
      <c r="D92" s="89" t="s">
        <v>144</v>
      </c>
      <c r="E92" s="219" t="s">
        <v>1929</v>
      </c>
      <c r="F92" s="86">
        <v>6.42</v>
      </c>
      <c r="G92" s="46">
        <f>'March 2025'!F92</f>
        <v>58.5</v>
      </c>
      <c r="H92" s="46">
        <f>G92*$H$5</f>
        <v>21.645</v>
      </c>
      <c r="I92" s="47">
        <f>((H92-F92)/H92)</f>
        <v>0.70339570339570334</v>
      </c>
      <c r="J92" s="48">
        <f>(($F92/(1-J$9)))</f>
        <v>16.049999999999997</v>
      </c>
      <c r="K92" s="48">
        <f>(($F92/(1-$K$9)))</f>
        <v>19.753846153846155</v>
      </c>
      <c r="L92" s="48">
        <f>(($F92/(1-L$9)))</f>
        <v>25.68</v>
      </c>
    </row>
    <row r="93" spans="2:12" ht="18.75" customHeight="1" thickBot="1" x14ac:dyDescent="0.3">
      <c r="B93" s="42" t="s">
        <v>145</v>
      </c>
      <c r="C93" s="43">
        <v>0.1</v>
      </c>
      <c r="D93" s="85" t="s">
        <v>146</v>
      </c>
      <c r="E93" s="219" t="s">
        <v>1930</v>
      </c>
      <c r="F93" s="86">
        <v>6.42</v>
      </c>
      <c r="G93" s="46">
        <f>'March 2025'!F93</f>
        <v>58.5</v>
      </c>
      <c r="H93" s="46">
        <f>G93*$H$5</f>
        <v>21.645</v>
      </c>
      <c r="I93" s="47">
        <f>((H93-F93)/H93)</f>
        <v>0.70339570339570334</v>
      </c>
      <c r="J93" s="48">
        <f>(($F93/(1-J$9)))</f>
        <v>16.049999999999997</v>
      </c>
      <c r="K93" s="48">
        <f>(($F93/(1-$K$9)))</f>
        <v>19.753846153846155</v>
      </c>
      <c r="L93" s="48">
        <f>(($F93/(1-L$9)))</f>
        <v>25.68</v>
      </c>
    </row>
    <row r="94" spans="2:12" ht="19.7" customHeight="1" thickBot="1" x14ac:dyDescent="0.3">
      <c r="B94" s="213" t="s">
        <v>147</v>
      </c>
      <c r="C94" s="213"/>
      <c r="D94" s="213"/>
      <c r="F94" s="213"/>
    </row>
    <row r="95" spans="2:12" ht="18.75" customHeight="1" thickBot="1" x14ac:dyDescent="0.3">
      <c r="B95" s="214" t="s">
        <v>148</v>
      </c>
      <c r="C95" s="214"/>
      <c r="D95" s="214"/>
      <c r="E95" s="224"/>
      <c r="F95" s="214"/>
      <c r="G95" s="214"/>
      <c r="H95" s="214"/>
      <c r="I95" s="91"/>
      <c r="J95" s="48"/>
      <c r="K95" s="48"/>
      <c r="L95" s="48"/>
    </row>
    <row r="96" spans="2:12" ht="18.75" customHeight="1" thickBot="1" x14ac:dyDescent="0.3">
      <c r="B96" s="200" t="s">
        <v>149</v>
      </c>
      <c r="C96" s="200"/>
      <c r="D96" s="200"/>
      <c r="F96" s="200"/>
    </row>
    <row r="97" spans="2:12" ht="18.75" customHeight="1" x14ac:dyDescent="0.25">
      <c r="B97" s="42" t="s">
        <v>150</v>
      </c>
      <c r="C97" s="43">
        <v>12</v>
      </c>
      <c r="D97" s="52" t="s">
        <v>151</v>
      </c>
      <c r="E97" s="218" t="str">
        <f>VLOOKUP(D97,Sheet1!B:C, 2, FALSE)</f>
        <v>D09510014VXR000</v>
      </c>
      <c r="F97" s="68">
        <v>288.17</v>
      </c>
      <c r="G97" s="46">
        <f>'March 2025'!F96</f>
        <v>0</v>
      </c>
      <c r="H97" s="46">
        <f>G97*$H$5</f>
        <v>0</v>
      </c>
      <c r="I97" s="47" t="e">
        <f>((H97-F97)/H97)</f>
        <v>#DIV/0!</v>
      </c>
      <c r="J97" s="48">
        <f>(($F97/(1-J$9)))</f>
        <v>720.42499999999995</v>
      </c>
      <c r="K97" s="48">
        <f>(($F97/(1-$K$9)))</f>
        <v>886.67692307692323</v>
      </c>
      <c r="L97" s="48">
        <f>(($F97/(1-L$9)))</f>
        <v>1152.68</v>
      </c>
    </row>
    <row r="98" spans="2:12" ht="18.75" customHeight="1" thickBot="1" x14ac:dyDescent="0.3">
      <c r="B98" s="42" t="s">
        <v>152</v>
      </c>
      <c r="C98" s="43">
        <v>12</v>
      </c>
      <c r="D98" s="49" t="s">
        <v>153</v>
      </c>
      <c r="E98" s="218" t="str">
        <f>VLOOKUP(D98,Sheet1!B:C, 2, FALSE)</f>
        <v>D09510020VXRV00</v>
      </c>
      <c r="F98" s="92">
        <v>369.04</v>
      </c>
      <c r="G98" s="46">
        <f>'March 2025'!F97</f>
        <v>6529</v>
      </c>
      <c r="H98" s="46">
        <f>G98*$H$5</f>
        <v>2415.73</v>
      </c>
      <c r="I98" s="47">
        <f>((H98-F98)/H98)</f>
        <v>0.84723458333505819</v>
      </c>
      <c r="J98" s="48">
        <f>(($F98/(1-J$9)))</f>
        <v>922.6</v>
      </c>
      <c r="K98" s="48">
        <f>(($F98/(1-$K$9)))</f>
        <v>1135.5076923076924</v>
      </c>
      <c r="L98" s="48">
        <f>(($F98/(1-L$9)))</f>
        <v>1476.16</v>
      </c>
    </row>
    <row r="99" spans="2:12" ht="18.75" customHeight="1" thickBot="1" x14ac:dyDescent="0.3">
      <c r="B99" s="205"/>
      <c r="C99" s="205"/>
      <c r="D99" s="205"/>
      <c r="E99" s="226"/>
      <c r="F99" s="205"/>
      <c r="G99" s="200"/>
      <c r="H99" s="200"/>
      <c r="I99" s="51"/>
      <c r="J99" s="48"/>
      <c r="K99" s="48"/>
      <c r="L99" s="48"/>
    </row>
    <row r="100" spans="2:12" ht="18.75" customHeight="1" thickBot="1" x14ac:dyDescent="0.3">
      <c r="B100" s="200" t="s">
        <v>154</v>
      </c>
      <c r="C100" s="200"/>
      <c r="D100" s="200"/>
      <c r="F100" s="200"/>
    </row>
    <row r="101" spans="2:12" ht="18.75" customHeight="1" x14ac:dyDescent="0.25">
      <c r="B101" s="42" t="s">
        <v>155</v>
      </c>
      <c r="C101" s="43">
        <v>320</v>
      </c>
      <c r="D101" s="52" t="s">
        <v>156</v>
      </c>
      <c r="E101" s="218" t="str">
        <f>VLOOKUP(D101,Sheet1!B:C, 2, FALSE)</f>
        <v>D09500000VXS000</v>
      </c>
      <c r="F101" s="45">
        <v>851.09</v>
      </c>
      <c r="G101" s="46">
        <f>'March 2025'!F100</f>
        <v>0</v>
      </c>
      <c r="H101" s="46">
        <f>G101*$H$5</f>
        <v>0</v>
      </c>
      <c r="I101" s="47" t="e">
        <f>((H101-F101)/H101)</f>
        <v>#DIV/0!</v>
      </c>
      <c r="J101" s="48">
        <f>(($F101/(1-J$9)))</f>
        <v>2127.7249999999999</v>
      </c>
      <c r="K101" s="48">
        <f>(($F101/(1-$K$9)))</f>
        <v>2618.7384615384622</v>
      </c>
      <c r="L101" s="48">
        <f>(($F101/(1-L$9)))</f>
        <v>3404.36</v>
      </c>
    </row>
    <row r="102" spans="2:12" ht="18.75" customHeight="1" thickBot="1" x14ac:dyDescent="0.3">
      <c r="B102" s="42" t="s">
        <v>157</v>
      </c>
      <c r="C102" s="43">
        <v>134</v>
      </c>
      <c r="D102" s="52" t="s">
        <v>158</v>
      </c>
      <c r="E102" s="218" t="str">
        <f>VLOOKUP(D102,Sheet1!B:C, 2, FALSE)</f>
        <v>D09500000VXSC0A</v>
      </c>
      <c r="F102" s="45">
        <v>341.67</v>
      </c>
      <c r="G102" s="46">
        <f>'March 2025'!F101</f>
        <v>6096.5</v>
      </c>
      <c r="H102" s="46">
        <f t="shared" ref="H102" si="10">G102*$H$5</f>
        <v>2255.7049999999999</v>
      </c>
      <c r="I102" s="47">
        <f t="shared" ref="I102" si="11">((H102-F102)/H102)</f>
        <v>0.84853072542730534</v>
      </c>
      <c r="J102" s="48">
        <f t="shared" ref="J102" si="12">(($F102/(1-J$9)))</f>
        <v>854.17499999999995</v>
      </c>
      <c r="K102" s="48">
        <f t="shared" ref="K102" si="13">(($F102/(1-$K$9)))</f>
        <v>1051.292307692308</v>
      </c>
      <c r="L102" s="48">
        <f t="shared" ref="L102" si="14">(($F102/(1-L$9)))</f>
        <v>1366.68</v>
      </c>
    </row>
    <row r="103" spans="2:12" ht="18.75" customHeight="1" thickBot="1" x14ac:dyDescent="0.3">
      <c r="B103" s="205"/>
      <c r="C103" s="205"/>
      <c r="D103" s="205"/>
      <c r="F103" s="205"/>
    </row>
    <row r="104" spans="2:12" ht="18.75" customHeight="1" thickBot="1" x14ac:dyDescent="0.3">
      <c r="B104" s="200" t="s">
        <v>161</v>
      </c>
      <c r="C104" s="200"/>
      <c r="D104" s="200"/>
      <c r="F104" s="200"/>
    </row>
    <row r="105" spans="2:12" ht="18.75" customHeight="1" x14ac:dyDescent="0.25">
      <c r="B105" s="42" t="s">
        <v>162</v>
      </c>
      <c r="C105" s="43">
        <v>5</v>
      </c>
      <c r="D105" s="44" t="s">
        <v>163</v>
      </c>
      <c r="E105" s="218" t="str">
        <f>VLOOKUP(D105,Sheet1!B:C, 2, FALSE)</f>
        <v>D09500000VXPPK0</v>
      </c>
      <c r="F105" s="45">
        <v>551.34259999999995</v>
      </c>
      <c r="G105" s="46">
        <f>CEILING((Master!F126*1.06),0.5)</f>
        <v>0</v>
      </c>
      <c r="H105" s="46">
        <f t="shared" ref="H105:H106" si="15">G105*$H$5</f>
        <v>0</v>
      </c>
      <c r="I105" s="47" t="e">
        <f t="shared" ref="I105:I106" si="16">((H105-F105)/H105)</f>
        <v>#DIV/0!</v>
      </c>
      <c r="J105" s="48">
        <f t="shared" ref="J105:J106" si="17">(($F105/(1-J$9)))</f>
        <v>1378.3564999999999</v>
      </c>
      <c r="K105" s="48">
        <f t="shared" ref="K105:K106" si="18">(($F105/(1-$K$9)))</f>
        <v>1696.4387692307694</v>
      </c>
      <c r="L105" s="48">
        <f t="shared" ref="L105:L106" si="19">(($F105/(1-L$9)))</f>
        <v>2205.3703999999998</v>
      </c>
    </row>
    <row r="106" spans="2:12" ht="18.75" customHeight="1" x14ac:dyDescent="0.25">
      <c r="B106" s="42" t="s">
        <v>164</v>
      </c>
      <c r="C106" s="43">
        <v>2</v>
      </c>
      <c r="D106" s="44" t="s">
        <v>165</v>
      </c>
      <c r="E106" s="218" t="str">
        <f>VLOOKUP(D106,Sheet1!B:C, 2, FALSE)</f>
        <v>D09500000VX00SP</v>
      </c>
      <c r="F106" s="45">
        <v>130.0367</v>
      </c>
      <c r="G106" s="46">
        <f>CEILING((Master!F127*1.06),0.5)</f>
        <v>0</v>
      </c>
      <c r="H106" s="46">
        <f t="shared" si="15"/>
        <v>0</v>
      </c>
      <c r="I106" s="47" t="e">
        <f t="shared" si="16"/>
        <v>#DIV/0!</v>
      </c>
      <c r="J106" s="48">
        <f t="shared" si="17"/>
        <v>325.09174999999999</v>
      </c>
      <c r="K106" s="48">
        <f t="shared" si="18"/>
        <v>400.1129230769231</v>
      </c>
      <c r="L106" s="48">
        <f t="shared" si="19"/>
        <v>520.14679999999998</v>
      </c>
    </row>
    <row r="107" spans="2:12" ht="18.75" customHeight="1" x14ac:dyDescent="0.25">
      <c r="B107" s="42" t="s">
        <v>166</v>
      </c>
      <c r="C107" s="43">
        <v>2</v>
      </c>
      <c r="D107" s="52" t="s">
        <v>167</v>
      </c>
      <c r="E107" s="218" t="str">
        <f>VLOOKUP(D107,Sheet1!B:C, 2, FALSE)</f>
        <v>D09500000VXSPPG</v>
      </c>
      <c r="F107" s="45">
        <v>136.3425</v>
      </c>
      <c r="G107" s="46">
        <f>CEILING((Master!F128*1.06),0.5)</f>
        <v>6391.5</v>
      </c>
      <c r="H107" s="46">
        <f t="shared" ref="H107:H114" si="20">G107*$H$5</f>
        <v>2364.855</v>
      </c>
      <c r="I107" s="47">
        <f t="shared" ref="I107:I114" si="21">((H107-F107)/H107)</f>
        <v>0.94234635950195667</v>
      </c>
      <c r="J107" s="48">
        <f t="shared" ref="J107:J114" si="22">(($F107/(1-J$9)))</f>
        <v>340.85624999999999</v>
      </c>
      <c r="K107" s="48">
        <f t="shared" ref="K107:K114" si="23">(($F107/(1-$K$9)))</f>
        <v>419.51538461538468</v>
      </c>
      <c r="L107" s="48">
        <f t="shared" ref="L107:L114" si="24">(($F107/(1-L$9)))</f>
        <v>545.37</v>
      </c>
    </row>
    <row r="108" spans="2:12" ht="18.75" customHeight="1" x14ac:dyDescent="0.25">
      <c r="B108" s="87" t="s">
        <v>168</v>
      </c>
      <c r="C108" s="88">
        <v>5</v>
      </c>
      <c r="D108" s="93" t="s">
        <v>169</v>
      </c>
      <c r="E108" s="218" t="str">
        <f>VLOOKUP(D108,Sheet1!B:C, 2, FALSE)</f>
        <v>D095000000VX4P0</v>
      </c>
      <c r="F108" s="45">
        <v>550.49</v>
      </c>
      <c r="G108" s="46">
        <f>CEILING((Master!F129*1.06),0.5)</f>
        <v>1513</v>
      </c>
      <c r="H108" s="46">
        <f t="shared" si="20"/>
        <v>559.80999999999995</v>
      </c>
      <c r="I108" s="47">
        <f t="shared" si="21"/>
        <v>1.6648505743019841E-2</v>
      </c>
      <c r="J108" s="48">
        <f t="shared" si="22"/>
        <v>1376.2249999999999</v>
      </c>
      <c r="K108" s="48">
        <f t="shared" si="23"/>
        <v>1693.8153846153848</v>
      </c>
      <c r="L108" s="48">
        <f t="shared" si="24"/>
        <v>2201.96</v>
      </c>
    </row>
    <row r="109" spans="2:12" ht="18.75" customHeight="1" x14ac:dyDescent="0.25">
      <c r="B109" s="87" t="s">
        <v>170</v>
      </c>
      <c r="C109" s="88">
        <v>2</v>
      </c>
      <c r="D109" s="93" t="s">
        <v>171</v>
      </c>
      <c r="E109" s="218" t="e">
        <f>VLOOKUP(D109,Sheet1!B:C, 2, FALSE)</f>
        <v>#N/A</v>
      </c>
      <c r="F109" s="45">
        <v>133.22</v>
      </c>
      <c r="G109" s="46">
        <f>CEILING((Master!F130*1.06),0.5)</f>
        <v>2355.5</v>
      </c>
      <c r="H109" s="46">
        <f t="shared" si="20"/>
        <v>871.53499999999997</v>
      </c>
      <c r="I109" s="47">
        <f t="shared" si="21"/>
        <v>0.84714325873315466</v>
      </c>
      <c r="J109" s="48">
        <f t="shared" si="22"/>
        <v>333.04999999999995</v>
      </c>
      <c r="K109" s="48">
        <f t="shared" si="23"/>
        <v>409.90769230769234</v>
      </c>
      <c r="L109" s="48">
        <f t="shared" si="24"/>
        <v>532.88</v>
      </c>
    </row>
    <row r="110" spans="2:12" ht="18.75" customHeight="1" x14ac:dyDescent="0.25">
      <c r="B110" s="42" t="s">
        <v>172</v>
      </c>
      <c r="C110" s="43">
        <v>1</v>
      </c>
      <c r="D110" s="44" t="s">
        <v>173</v>
      </c>
      <c r="E110" s="218" t="str">
        <f>VLOOKUP(D110,Sheet1!B:C, 2, FALSE)</f>
        <v>D09500004VXSPH0</v>
      </c>
      <c r="F110" s="45">
        <v>8.3373000000000008</v>
      </c>
      <c r="G110" s="46">
        <f>CEILING((Master!F131*1.06),0.5)</f>
        <v>149.5</v>
      </c>
      <c r="H110" s="46">
        <f t="shared" si="20"/>
        <v>55.314999999999998</v>
      </c>
      <c r="I110" s="47">
        <f t="shared" si="21"/>
        <v>0.84927596492813884</v>
      </c>
      <c r="J110" s="48">
        <f t="shared" si="22"/>
        <v>20.843250000000001</v>
      </c>
      <c r="K110" s="48">
        <f t="shared" si="23"/>
        <v>25.653230769230774</v>
      </c>
      <c r="L110" s="48">
        <f t="shared" si="24"/>
        <v>33.349200000000003</v>
      </c>
    </row>
    <row r="111" spans="2:12" ht="18.75" customHeight="1" x14ac:dyDescent="0.25">
      <c r="B111" s="42" t="s">
        <v>174</v>
      </c>
      <c r="C111" s="43">
        <v>1</v>
      </c>
      <c r="D111" s="44" t="s">
        <v>175</v>
      </c>
      <c r="E111" s="218" t="str">
        <f>VLOOKUP(D111,Sheet1!B:C, 2, FALSE)</f>
        <v>D09500002VXPH00</v>
      </c>
      <c r="F111" s="45">
        <v>6.9394999999999998</v>
      </c>
      <c r="G111" s="46">
        <f>CEILING((Master!F132*1.06),0.5)</f>
        <v>126.5</v>
      </c>
      <c r="H111" s="46">
        <f t="shared" si="20"/>
        <v>46.805</v>
      </c>
      <c r="I111" s="47">
        <f t="shared" si="21"/>
        <v>0.85173592564896905</v>
      </c>
      <c r="J111" s="48">
        <f t="shared" si="22"/>
        <v>17.348749999999999</v>
      </c>
      <c r="K111" s="48">
        <f t="shared" si="23"/>
        <v>21.352307692307694</v>
      </c>
      <c r="L111" s="48">
        <f t="shared" si="24"/>
        <v>27.757999999999999</v>
      </c>
    </row>
    <row r="112" spans="2:12" ht="18.75" customHeight="1" x14ac:dyDescent="0.25">
      <c r="B112" s="42" t="s">
        <v>176</v>
      </c>
      <c r="C112" s="43">
        <v>1</v>
      </c>
      <c r="D112" s="44" t="s">
        <v>177</v>
      </c>
      <c r="E112" s="218" t="str">
        <f>VLOOKUP(D112,Sheet1!B:C, 2, FALSE)</f>
        <v>D09500000VXT0A5</v>
      </c>
      <c r="F112" s="45">
        <v>48.146799999999999</v>
      </c>
      <c r="G112" s="46">
        <f>CEILING((Master!F133*1.06),0.5)</f>
        <v>757</v>
      </c>
      <c r="H112" s="46">
        <f t="shared" si="20"/>
        <v>280.08999999999997</v>
      </c>
      <c r="I112" s="47">
        <f t="shared" si="21"/>
        <v>0.82810239565853838</v>
      </c>
      <c r="J112" s="48">
        <f t="shared" si="22"/>
        <v>120.36699999999999</v>
      </c>
      <c r="K112" s="48">
        <f t="shared" si="23"/>
        <v>148.14400000000001</v>
      </c>
      <c r="L112" s="48">
        <f t="shared" si="24"/>
        <v>192.5872</v>
      </c>
    </row>
    <row r="113" spans="2:12" ht="18.75" customHeight="1" x14ac:dyDescent="0.25">
      <c r="B113" s="42" t="s">
        <v>178</v>
      </c>
      <c r="C113" s="43">
        <v>1</v>
      </c>
      <c r="D113" s="52" t="s">
        <v>179</v>
      </c>
      <c r="E113" s="218" t="str">
        <f>VLOOKUP(D113,Sheet1!B:C, 2, FALSE)</f>
        <v>D0950000VXTA00A</v>
      </c>
      <c r="F113" s="45">
        <v>89.886799999999994</v>
      </c>
      <c r="G113" s="46">
        <f>CEILING((Master!F134*1.06),0.5)</f>
        <v>757</v>
      </c>
      <c r="H113" s="46">
        <f t="shared" si="20"/>
        <v>280.08999999999997</v>
      </c>
      <c r="I113" s="47">
        <f t="shared" si="21"/>
        <v>0.67907886750687274</v>
      </c>
      <c r="J113" s="48">
        <f t="shared" si="22"/>
        <v>224.71699999999998</v>
      </c>
      <c r="K113" s="48">
        <f t="shared" si="23"/>
        <v>276.57476923076928</v>
      </c>
      <c r="L113" s="48">
        <f t="shared" si="24"/>
        <v>359.54719999999998</v>
      </c>
    </row>
    <row r="114" spans="2:12" ht="18.75" customHeight="1" thickBot="1" x14ac:dyDescent="0.3">
      <c r="B114" s="42" t="s">
        <v>180</v>
      </c>
      <c r="C114" s="43">
        <v>20</v>
      </c>
      <c r="D114" s="49" t="s">
        <v>181</v>
      </c>
      <c r="E114" s="218" t="str">
        <f>VLOOKUP(D114,Sheet1!B:C, 2, FALSE)</f>
        <v>D09500000VX0MFA</v>
      </c>
      <c r="F114" s="50">
        <v>768.69</v>
      </c>
      <c r="G114" s="46">
        <f>CEILING((Master!F135*1.06),0.5)</f>
        <v>6458.5</v>
      </c>
      <c r="H114" s="46">
        <f t="shared" si="20"/>
        <v>2389.645</v>
      </c>
      <c r="I114" s="47">
        <f t="shared" si="21"/>
        <v>0.67832460470069822</v>
      </c>
      <c r="J114" s="48">
        <f t="shared" si="22"/>
        <v>1921.7250000000001</v>
      </c>
      <c r="K114" s="48">
        <f t="shared" si="23"/>
        <v>2365.2000000000003</v>
      </c>
      <c r="L114" s="48">
        <f t="shared" si="24"/>
        <v>3074.76</v>
      </c>
    </row>
    <row r="115" spans="2:12" ht="18.75" customHeight="1" thickBot="1" x14ac:dyDescent="0.3">
      <c r="B115" s="205"/>
      <c r="C115" s="205"/>
      <c r="D115" s="205"/>
      <c r="E115" s="231"/>
      <c r="F115" s="205"/>
      <c r="G115" s="205"/>
      <c r="H115" s="205"/>
      <c r="I115" s="77"/>
      <c r="J115" s="48"/>
      <c r="K115" s="48"/>
      <c r="L115" s="48"/>
    </row>
    <row r="116" spans="2:12" ht="18.75" customHeight="1" thickBot="1" x14ac:dyDescent="0.3">
      <c r="B116" s="200" t="s">
        <v>182</v>
      </c>
      <c r="C116" s="200"/>
      <c r="D116" s="200"/>
      <c r="E116" s="226"/>
      <c r="F116" s="200"/>
      <c r="G116" s="200"/>
      <c r="H116" s="200"/>
      <c r="I116" s="51"/>
      <c r="J116" s="48"/>
      <c r="K116" s="48"/>
      <c r="L116" s="48"/>
    </row>
    <row r="117" spans="2:12" ht="18.75" customHeight="1" x14ac:dyDescent="0.25">
      <c r="B117" s="42" t="s">
        <v>183</v>
      </c>
      <c r="C117" s="95"/>
      <c r="D117" s="96"/>
      <c r="E117" s="218" t="e">
        <f>VLOOKUP(D117,Sheet1!B:C, 2, FALSE)</f>
        <v>#N/A</v>
      </c>
      <c r="F117" s="97"/>
      <c r="G117" s="98" t="s">
        <v>184</v>
      </c>
      <c r="H117" s="46"/>
      <c r="I117" s="99"/>
      <c r="J117" s="48">
        <f>(($F117/(1-J$9)))</f>
        <v>0</v>
      </c>
      <c r="K117" s="48">
        <f>(($F117/(1-$K$9)))</f>
        <v>0</v>
      </c>
      <c r="L117" s="48">
        <f>(($F117/(1-L$9)))</f>
        <v>0</v>
      </c>
    </row>
    <row r="118" spans="2:12" ht="18.75" customHeight="1" x14ac:dyDescent="0.25">
      <c r="B118" s="42" t="s">
        <v>185</v>
      </c>
      <c r="C118" s="100"/>
      <c r="D118" s="49"/>
      <c r="E118" s="218" t="e">
        <f>VLOOKUP(D118,Sheet1!B:C, 2, FALSE)</f>
        <v>#N/A</v>
      </c>
      <c r="F118" s="101"/>
      <c r="G118" s="98" t="s">
        <v>184</v>
      </c>
      <c r="H118" s="46"/>
      <c r="I118" s="99"/>
      <c r="J118" s="48">
        <f>(($F118/(1-J$9)))</f>
        <v>0</v>
      </c>
      <c r="K118" s="48">
        <f>(($F118/(1-$K$9)))</f>
        <v>0</v>
      </c>
      <c r="L118" s="48">
        <f>(($F118/(1-L$9)))</f>
        <v>0</v>
      </c>
    </row>
    <row r="119" spans="2:12" ht="18.75" customHeight="1" thickBot="1" x14ac:dyDescent="0.3">
      <c r="B119" s="42" t="s">
        <v>186</v>
      </c>
      <c r="C119" s="100"/>
      <c r="D119" s="49"/>
      <c r="E119" s="218" t="e">
        <f>VLOOKUP(D119,Sheet1!B:C, 2, FALSE)</f>
        <v>#N/A</v>
      </c>
      <c r="F119" s="102"/>
      <c r="G119" s="98" t="s">
        <v>184</v>
      </c>
      <c r="H119" s="46"/>
      <c r="I119" s="99"/>
      <c r="J119" s="48">
        <f>(($F119/(1-J$9)))</f>
        <v>0</v>
      </c>
      <c r="K119" s="48">
        <f>(($F119/(1-$K$9)))</f>
        <v>0</v>
      </c>
      <c r="L119" s="48">
        <f>(($F119/(1-L$9)))</f>
        <v>0</v>
      </c>
    </row>
    <row r="120" spans="2:12" ht="18.75" customHeight="1" thickBot="1" x14ac:dyDescent="0.3">
      <c r="B120" s="205"/>
      <c r="C120" s="205"/>
      <c r="D120" s="205"/>
      <c r="E120" s="231"/>
      <c r="F120" s="205"/>
      <c r="G120" s="205"/>
      <c r="H120" s="205"/>
      <c r="I120" s="77"/>
      <c r="J120" s="48"/>
      <c r="K120" s="48"/>
      <c r="L120" s="48"/>
    </row>
    <row r="121" spans="2:12" ht="18.75" customHeight="1" thickBot="1" x14ac:dyDescent="0.3">
      <c r="B121" s="200" t="s">
        <v>187</v>
      </c>
      <c r="C121" s="200"/>
      <c r="D121" s="200"/>
      <c r="E121" s="226"/>
      <c r="F121" s="200"/>
      <c r="G121" s="200"/>
      <c r="H121" s="200"/>
      <c r="I121" s="51"/>
      <c r="J121" s="48"/>
      <c r="K121" s="48"/>
      <c r="L121" s="48"/>
    </row>
    <row r="122" spans="2:12" ht="18.75" customHeight="1" x14ac:dyDescent="0.25">
      <c r="B122" s="42" t="s">
        <v>188</v>
      </c>
      <c r="C122" s="43">
        <v>5</v>
      </c>
      <c r="D122" s="44" t="s">
        <v>189</v>
      </c>
      <c r="E122" s="218" t="str">
        <f>VLOOKUP(D122,Sheet1!B:C, 2, FALSE)</f>
        <v>D09500000VXSM42</v>
      </c>
      <c r="F122" s="45">
        <v>271.50873000000001</v>
      </c>
      <c r="G122" s="46">
        <f>CEILING((Master!F147*1.06),0.5)</f>
        <v>1916</v>
      </c>
      <c r="H122" s="46">
        <f>G122*$H$5</f>
        <v>708.92</v>
      </c>
      <c r="I122" s="47">
        <f>((H122-F122)/H122)</f>
        <v>0.61701076285053313</v>
      </c>
      <c r="J122" s="48">
        <f>(($F122/(1-J$9)))</f>
        <v>678.77182500000004</v>
      </c>
      <c r="K122" s="48">
        <f>(($F122/(1-$K$9)))</f>
        <v>835.41147692307709</v>
      </c>
      <c r="L122" s="48">
        <f>(($F122/(1-L$9)))</f>
        <v>1086.0349200000001</v>
      </c>
    </row>
    <row r="123" spans="2:12" ht="18.75" customHeight="1" x14ac:dyDescent="0.25">
      <c r="B123" s="42" t="s">
        <v>190</v>
      </c>
      <c r="C123" s="43">
        <v>15</v>
      </c>
      <c r="D123" s="44" t="s">
        <v>191</v>
      </c>
      <c r="E123" s="218" t="str">
        <f>VLOOKUP(D123,Sheet1!B:C, 2, FALSE)</f>
        <v>D09500000VXSM84</v>
      </c>
      <c r="F123" s="45">
        <v>373.78922</v>
      </c>
      <c r="G123" s="46">
        <f>CEILING((Master!F149*1.06),0.5)</f>
        <v>2842.5</v>
      </c>
      <c r="H123" s="46">
        <f>G123*$H$5</f>
        <v>1051.7249999999999</v>
      </c>
      <c r="I123" s="47">
        <f>((H123-F123)/H123)</f>
        <v>0.64459414770971502</v>
      </c>
      <c r="J123" s="48">
        <f>(($F123/(1-J$9)))</f>
        <v>934.47304999999994</v>
      </c>
      <c r="K123" s="48">
        <f>(($F123/(1-$K$9)))</f>
        <v>1150.1206769230771</v>
      </c>
      <c r="L123" s="48">
        <f>(($F123/(1-L$9)))</f>
        <v>1495.15688</v>
      </c>
    </row>
    <row r="124" spans="2:12" ht="18.75" customHeight="1" thickBot="1" x14ac:dyDescent="0.3">
      <c r="B124" s="42" t="s">
        <v>192</v>
      </c>
      <c r="C124" s="43">
        <v>50</v>
      </c>
      <c r="D124" s="49" t="s">
        <v>193</v>
      </c>
      <c r="E124" s="218" t="str">
        <f>VLOOKUP(D124,Sheet1!B:C, 2, FALSE)</f>
        <v>D09500000VXSM16</v>
      </c>
      <c r="F124" s="50">
        <v>466.21417000000002</v>
      </c>
      <c r="G124" s="46">
        <f>CEILING((Master!F150*1.06),0.5)</f>
        <v>3260.5</v>
      </c>
      <c r="H124" s="46">
        <f>G124*$H$5</f>
        <v>1206.385</v>
      </c>
      <c r="I124" s="47">
        <f>((H124-F124)/H124)</f>
        <v>0.61354445720064488</v>
      </c>
      <c r="J124" s="48">
        <f>(($F124/(1-J$9)))</f>
        <v>1165.535425</v>
      </c>
      <c r="K124" s="48">
        <f>(($F124/(1-$K$9)))</f>
        <v>1434.5051384615388</v>
      </c>
      <c r="L124" s="48">
        <f>(($F124/(1-L$9)))</f>
        <v>1864.8566800000001</v>
      </c>
    </row>
    <row r="125" spans="2:12" ht="18.75" customHeight="1" thickBot="1" x14ac:dyDescent="0.3">
      <c r="B125" s="205"/>
      <c r="C125" s="205"/>
      <c r="D125" s="205"/>
      <c r="E125" s="231"/>
      <c r="F125" s="205"/>
      <c r="G125" s="205"/>
      <c r="H125" s="205"/>
      <c r="I125" s="77"/>
      <c r="J125" s="48"/>
      <c r="K125" s="48"/>
      <c r="L125" s="48"/>
    </row>
    <row r="126" spans="2:12" ht="18.75" customHeight="1" thickBot="1" x14ac:dyDescent="0.3">
      <c r="B126" s="200" t="s">
        <v>194</v>
      </c>
      <c r="C126" s="200"/>
      <c r="D126" s="200"/>
      <c r="E126" s="226"/>
      <c r="F126" s="200"/>
      <c r="G126" s="200"/>
      <c r="H126" s="200"/>
      <c r="I126" s="51"/>
      <c r="J126" s="48"/>
      <c r="K126" s="48"/>
      <c r="L126" s="48"/>
    </row>
    <row r="127" spans="2:12" ht="19.7" customHeight="1" x14ac:dyDescent="0.25">
      <c r="B127" s="42" t="s">
        <v>195</v>
      </c>
      <c r="C127" s="43">
        <v>12</v>
      </c>
      <c r="D127" s="52" t="s">
        <v>196</v>
      </c>
      <c r="E127" s="218" t="str">
        <f>VLOOKUP(D127,Sheet1!B:C, 2, FALSE)</f>
        <v>D09500010VX0MIB</v>
      </c>
      <c r="F127" s="68">
        <v>227.197</v>
      </c>
      <c r="G127" s="46">
        <f>CEILING((Master!F153*1.06),0.5)</f>
        <v>3399.5</v>
      </c>
      <c r="H127" s="46">
        <f>G127*$H$5</f>
        <v>1257.8150000000001</v>
      </c>
      <c r="I127" s="47">
        <f>((H127-F127)/H127)</f>
        <v>0.81937168820534012</v>
      </c>
      <c r="J127" s="48">
        <f>(($F127/(1-J$9)))</f>
        <v>567.99249999999995</v>
      </c>
      <c r="K127" s="48">
        <f>(($F127/(1-$K$9)))</f>
        <v>699.06769230769237</v>
      </c>
      <c r="L127" s="48">
        <f>(($F127/(1-L$9)))</f>
        <v>908.78800000000001</v>
      </c>
    </row>
    <row r="128" spans="2:12" ht="18.75" customHeight="1" thickBot="1" x14ac:dyDescent="0.3">
      <c r="B128" s="42" t="s">
        <v>197</v>
      </c>
      <c r="C128" s="43">
        <v>15</v>
      </c>
      <c r="D128" s="49" t="s">
        <v>198</v>
      </c>
      <c r="E128" s="218" t="str">
        <f>VLOOKUP(D128,Sheet1!B:C, 2, FALSE)</f>
        <v>D09500014VXKMIB</v>
      </c>
      <c r="F128" s="92">
        <v>404.06700000000001</v>
      </c>
      <c r="G128" s="46">
        <f>CEILING((Master!F154*1.06),0.5)</f>
        <v>4186.5</v>
      </c>
      <c r="H128" s="46">
        <f>G128*$H$5</f>
        <v>1549.0049999999999</v>
      </c>
      <c r="I128" s="47">
        <f>((H128-F128)/H128)</f>
        <v>0.7391441602835368</v>
      </c>
      <c r="J128" s="48">
        <f>(($F128/(1-J$9)))</f>
        <v>1010.1675</v>
      </c>
      <c r="K128" s="48">
        <f>(($F128/(1-$K$9)))</f>
        <v>1243.283076923077</v>
      </c>
      <c r="L128" s="48">
        <f>(($F128/(1-L$9)))</f>
        <v>1616.268</v>
      </c>
    </row>
    <row r="129" spans="1:12" ht="18.75" customHeight="1" thickBot="1" x14ac:dyDescent="0.3">
      <c r="B129" s="205"/>
      <c r="C129" s="205"/>
      <c r="D129" s="205"/>
      <c r="E129" s="231"/>
      <c r="F129" s="205"/>
      <c r="G129" s="205"/>
      <c r="H129" s="205"/>
      <c r="I129" s="77"/>
      <c r="J129" s="48"/>
      <c r="K129" s="48"/>
      <c r="L129" s="48"/>
    </row>
    <row r="130" spans="1:12" ht="18.75" customHeight="1" thickBot="1" x14ac:dyDescent="0.3">
      <c r="B130" s="200" t="s">
        <v>199</v>
      </c>
      <c r="C130" s="200"/>
      <c r="D130" s="200"/>
      <c r="E130" s="226"/>
      <c r="F130" s="200"/>
      <c r="G130" s="200"/>
      <c r="H130" s="200"/>
      <c r="I130" s="51"/>
      <c r="J130" s="48"/>
      <c r="K130" s="48"/>
      <c r="L130" s="48"/>
    </row>
    <row r="131" spans="1:12" ht="18.75" customHeight="1" thickBot="1" x14ac:dyDescent="0.3">
      <c r="B131" s="42" t="s">
        <v>200</v>
      </c>
      <c r="C131" s="43">
        <v>1.2</v>
      </c>
      <c r="D131" s="52" t="s">
        <v>201</v>
      </c>
      <c r="E131" s="219" t="s">
        <v>1919</v>
      </c>
      <c r="F131" s="68">
        <v>65.25</v>
      </c>
      <c r="G131" s="46">
        <f>CEILING((Master!F157*1.06),0.5)</f>
        <v>482.5</v>
      </c>
      <c r="H131" s="46">
        <f>G131*$H$5</f>
        <v>178.52500000000001</v>
      </c>
      <c r="I131" s="47">
        <f>((H131-F131)/H131)</f>
        <v>0.63450497129253602</v>
      </c>
      <c r="J131" s="48">
        <f>(($F131/(1-J$9)))</f>
        <v>163.125</v>
      </c>
      <c r="K131" s="48">
        <f>(($F131/(1-$K$9)))</f>
        <v>200.7692307692308</v>
      </c>
      <c r="L131" s="48">
        <f>(($F131/(1-L$9)))</f>
        <v>261</v>
      </c>
    </row>
    <row r="132" spans="1:12" ht="18.75" customHeight="1" thickBot="1" x14ac:dyDescent="0.3">
      <c r="B132" s="205"/>
      <c r="C132" s="205"/>
      <c r="D132" s="205"/>
      <c r="E132" s="231"/>
      <c r="F132" s="205"/>
      <c r="G132" s="205"/>
      <c r="H132" s="205"/>
      <c r="I132" s="77"/>
      <c r="J132" s="48"/>
      <c r="K132" s="48"/>
      <c r="L132" s="48"/>
    </row>
    <row r="133" spans="1:12" ht="18.75" customHeight="1" thickBot="1" x14ac:dyDescent="0.3">
      <c r="B133" s="214" t="s">
        <v>202</v>
      </c>
      <c r="C133" s="214"/>
      <c r="D133" s="214"/>
      <c r="E133" s="224"/>
      <c r="F133" s="214"/>
      <c r="G133" s="214"/>
      <c r="H133" s="214"/>
      <c r="I133" s="91"/>
      <c r="J133" s="48"/>
      <c r="K133" s="48"/>
      <c r="L133" s="48"/>
    </row>
    <row r="134" spans="1:12" ht="18.75" customHeight="1" thickBot="1" x14ac:dyDescent="0.3">
      <c r="B134" s="215" t="s">
        <v>203</v>
      </c>
      <c r="C134" s="215"/>
      <c r="D134" s="215"/>
      <c r="E134" s="239"/>
      <c r="F134" s="215"/>
      <c r="G134" s="215"/>
      <c r="H134" s="215"/>
      <c r="I134" s="103"/>
      <c r="J134" s="48"/>
      <c r="K134" s="48"/>
      <c r="L134" s="48"/>
    </row>
    <row r="135" spans="1:12" ht="18.75" customHeight="1" x14ac:dyDescent="0.25">
      <c r="A135" t="s">
        <v>337</v>
      </c>
      <c r="B135" s="206" t="s">
        <v>204</v>
      </c>
      <c r="C135" s="206"/>
      <c r="D135" s="206"/>
      <c r="E135" s="232"/>
      <c r="F135" s="206"/>
      <c r="G135" s="206"/>
      <c r="H135" s="206"/>
      <c r="I135" s="78"/>
      <c r="J135" s="48"/>
      <c r="K135" s="48"/>
      <c r="L135" s="48"/>
    </row>
    <row r="136" spans="1:12" ht="18.75" customHeight="1" x14ac:dyDescent="0.25">
      <c r="A136" t="s">
        <v>337</v>
      </c>
      <c r="B136" s="42" t="s">
        <v>205</v>
      </c>
      <c r="C136" s="43">
        <v>50</v>
      </c>
      <c r="D136" s="104" t="s">
        <v>206</v>
      </c>
      <c r="E136" s="218" t="str">
        <f>VLOOKUP(D136,Sheet1!B:C, 2, FALSE)</f>
        <v>D09500000VX8WM2</v>
      </c>
      <c r="F136" s="105">
        <v>731.96</v>
      </c>
      <c r="G136" s="90">
        <v>5374.5</v>
      </c>
      <c r="H136" s="46">
        <f>G136*$H$5</f>
        <v>1988.5650000000001</v>
      </c>
      <c r="I136" s="47">
        <f>((H136-F136)/H136)</f>
        <v>0.63191547673825099</v>
      </c>
      <c r="J136" s="48">
        <f>(($F136/(1-J$9)))</f>
        <v>1829.9</v>
      </c>
      <c r="K136" s="48">
        <f>(($F136/(1-$K$9)))</f>
        <v>2252.1846153846159</v>
      </c>
      <c r="L136" s="48">
        <f>(($F136/(1-L$9)))</f>
        <v>2927.84</v>
      </c>
    </row>
    <row r="137" spans="1:12" ht="18.75" customHeight="1" x14ac:dyDescent="0.25">
      <c r="A137" t="s">
        <v>337</v>
      </c>
      <c r="B137" s="42" t="s">
        <v>207</v>
      </c>
      <c r="C137" s="43">
        <v>60</v>
      </c>
      <c r="D137" s="106" t="s">
        <v>208</v>
      </c>
      <c r="E137" s="218" t="str">
        <f>VLOOKUP(D137,Sheet1!B:C, 2, FALSE)</f>
        <v>D09500000VX8WM4</v>
      </c>
      <c r="F137" s="107">
        <v>917.25</v>
      </c>
      <c r="G137" s="90">
        <v>7471.5</v>
      </c>
      <c r="H137" s="46">
        <f>G137*$H$5</f>
        <v>2764.4549999999999</v>
      </c>
      <c r="I137" s="47">
        <f>((H137-F137)/H137)</f>
        <v>0.66819861419339432</v>
      </c>
      <c r="J137" s="48">
        <f>(($F137/(1-J$9)))</f>
        <v>2293.125</v>
      </c>
      <c r="K137" s="48">
        <f>(($F137/(1-$K$9)))</f>
        <v>2822.3076923076928</v>
      </c>
      <c r="L137" s="48">
        <f>(($F137/(1-L$9)))</f>
        <v>3669</v>
      </c>
    </row>
    <row r="138" spans="1:12" ht="18.75" customHeight="1" thickBot="1" x14ac:dyDescent="0.3">
      <c r="B138" s="42" t="s">
        <v>209</v>
      </c>
      <c r="C138" s="43">
        <v>70</v>
      </c>
      <c r="D138" s="108" t="s">
        <v>210</v>
      </c>
      <c r="E138" s="218" t="str">
        <f>VLOOKUP(D138,Sheet1!B:C, 2, FALSE)</f>
        <v>D09500000VX8WM1</v>
      </c>
      <c r="F138" s="109">
        <v>1127.5999999999999</v>
      </c>
      <c r="G138" s="90">
        <v>9143</v>
      </c>
      <c r="H138" s="46">
        <f>G138*$H$5</f>
        <v>3382.91</v>
      </c>
      <c r="I138" s="47">
        <f>((H138-F138)/H138)</f>
        <v>0.66667750546127447</v>
      </c>
      <c r="J138" s="48">
        <f>(($F138/(1-J$9)))</f>
        <v>2818.9999999999995</v>
      </c>
      <c r="K138" s="48">
        <f>(($F138/(1-$K$9)))</f>
        <v>3469.5384615384619</v>
      </c>
      <c r="L138" s="48">
        <f>(($F138/(1-L$9)))</f>
        <v>4510.3999999999996</v>
      </c>
    </row>
    <row r="139" spans="1:12" ht="19.7" customHeight="1" thickBot="1" x14ac:dyDescent="0.3">
      <c r="B139" s="215" t="s">
        <v>211</v>
      </c>
      <c r="C139" s="215"/>
      <c r="D139" s="215"/>
      <c r="E139" s="239"/>
      <c r="F139" s="215"/>
      <c r="G139" s="215"/>
      <c r="H139" s="215"/>
      <c r="I139" s="103"/>
      <c r="J139" s="48"/>
      <c r="K139" s="48"/>
      <c r="L139" s="48"/>
    </row>
    <row r="140" spans="1:12" ht="18.75" customHeight="1" x14ac:dyDescent="0.25">
      <c r="B140" s="206" t="s">
        <v>204</v>
      </c>
      <c r="C140" s="206"/>
      <c r="D140" s="206"/>
      <c r="E140" s="232"/>
      <c r="F140" s="206"/>
      <c r="G140" s="206"/>
      <c r="H140" s="206"/>
      <c r="I140" s="78"/>
      <c r="J140" s="48"/>
      <c r="K140" s="48"/>
      <c r="L140" s="48"/>
    </row>
    <row r="141" spans="1:12" ht="17.25" customHeight="1" x14ac:dyDescent="0.25">
      <c r="B141" s="42" t="s">
        <v>212</v>
      </c>
      <c r="C141" s="43"/>
      <c r="D141" s="44" t="s">
        <v>213</v>
      </c>
      <c r="E141" s="218" t="str">
        <f>VLOOKUP(D141,Sheet1!B:C, 2, FALSE)</f>
        <v>K09500010VXCRST</v>
      </c>
      <c r="F141" s="110">
        <v>124.9</v>
      </c>
      <c r="G141" s="90">
        <f>CEILING((J141/$H$5),0.5)</f>
        <v>844</v>
      </c>
      <c r="H141" s="46">
        <f>G141*$H$5</f>
        <v>312.27999999999997</v>
      </c>
      <c r="I141" s="47">
        <f>((H141-F141)/H141)</f>
        <v>0.60003842705264498</v>
      </c>
      <c r="J141" s="48">
        <f>(($F141/(1-J$9)))</f>
        <v>312.25</v>
      </c>
      <c r="K141" s="48">
        <f>(($F141/(1-$K$9)))</f>
        <v>384.30769230769238</v>
      </c>
      <c r="L141" s="48">
        <f>(($F141/(1-L$9)))</f>
        <v>499.6</v>
      </c>
    </row>
    <row r="142" spans="1:12" ht="17.25" customHeight="1" x14ac:dyDescent="0.25">
      <c r="B142" s="42" t="s">
        <v>214</v>
      </c>
      <c r="C142" s="43"/>
      <c r="D142" s="44" t="s">
        <v>215</v>
      </c>
      <c r="E142" s="218" t="str">
        <f>VLOOKUP(D142,Sheet1!B:C, 2, FALSE)</f>
        <v>K09500050VXCRST</v>
      </c>
      <c r="F142" s="110">
        <v>234.8</v>
      </c>
      <c r="G142" s="90">
        <f>CEILING((J142/$H$5),0.5)</f>
        <v>1586.5</v>
      </c>
      <c r="H142" s="46">
        <f>G142*$H$5</f>
        <v>587.005</v>
      </c>
      <c r="I142" s="47">
        <f>((H142-F142)/H142)</f>
        <v>0.60000340712600397</v>
      </c>
      <c r="J142" s="48">
        <f>(($F142/(1-J$9)))</f>
        <v>587</v>
      </c>
      <c r="K142" s="48">
        <f>(($F142/(1-$K$9)))</f>
        <v>722.46153846153857</v>
      </c>
      <c r="L142" s="48">
        <f>(($F142/(1-L$9)))</f>
        <v>939.2</v>
      </c>
    </row>
    <row r="143" spans="1:12" ht="18.75" customHeight="1" thickBot="1" x14ac:dyDescent="0.3">
      <c r="B143" s="42" t="s">
        <v>216</v>
      </c>
      <c r="C143" s="43"/>
      <c r="D143" s="44" t="s">
        <v>217</v>
      </c>
      <c r="E143" s="218" t="str">
        <f>VLOOKUP(D143,Sheet1!B:C, 2, FALSE)</f>
        <v>K09500090VXCRST</v>
      </c>
      <c r="F143" s="111">
        <v>334.85</v>
      </c>
      <c r="G143" s="90">
        <f>CEILING((J143/$H$5),0.5)</f>
        <v>2262.5</v>
      </c>
      <c r="H143" s="46">
        <f>G143*$H$5</f>
        <v>837.125</v>
      </c>
      <c r="I143" s="47">
        <f>((H143-F143)/H143)</f>
        <v>0.6</v>
      </c>
      <c r="J143" s="48">
        <f>(($F143/(1-J$9)))</f>
        <v>837.125</v>
      </c>
      <c r="K143" s="48">
        <f>(($F143/(1-$K$9)))</f>
        <v>1030.3076923076926</v>
      </c>
      <c r="L143" s="48">
        <f>(($F143/(1-L$9)))</f>
        <v>1339.4</v>
      </c>
    </row>
    <row r="144" spans="1:12" ht="18.75" customHeight="1" thickBot="1" x14ac:dyDescent="0.3">
      <c r="B144" s="205"/>
      <c r="C144" s="205"/>
      <c r="D144" s="205"/>
      <c r="E144" s="231"/>
      <c r="F144" s="205"/>
      <c r="G144" s="205"/>
      <c r="H144" s="205"/>
      <c r="I144" s="77"/>
      <c r="J144" s="48"/>
      <c r="K144" s="48"/>
      <c r="L144" s="48"/>
    </row>
    <row r="145" spans="2:12" ht="21" thickBot="1" x14ac:dyDescent="0.3">
      <c r="B145" s="214" t="s">
        <v>218</v>
      </c>
      <c r="C145" s="214"/>
      <c r="D145" s="214"/>
      <c r="E145" s="224"/>
      <c r="F145" s="214"/>
      <c r="G145" s="214"/>
      <c r="H145" s="214"/>
      <c r="I145" s="91"/>
      <c r="J145" s="48"/>
      <c r="K145" s="48"/>
      <c r="L145" s="48"/>
    </row>
    <row r="146" spans="2:12" ht="18.75" customHeight="1" x14ac:dyDescent="0.25">
      <c r="B146" s="42" t="s">
        <v>219</v>
      </c>
      <c r="C146" s="43">
        <v>7</v>
      </c>
      <c r="D146" s="52" t="s">
        <v>220</v>
      </c>
      <c r="E146" s="218" t="str">
        <f>VLOOKUP(D146,Sheet1!B:C, 2, FALSE)</f>
        <v>D09500002VX00RM</v>
      </c>
      <c r="F146" s="45">
        <v>270.54300000000001</v>
      </c>
      <c r="G146" s="46">
        <f>CEILING((Master!F192*1.06),0.5)</f>
        <v>2091.5</v>
      </c>
      <c r="H146" s="46">
        <f t="shared" ref="H146:H157" si="25">G146*$H$5</f>
        <v>773.85500000000002</v>
      </c>
      <c r="I146" s="47">
        <f t="shared" ref="I146:I157" si="26">((H146-F146)/H146)</f>
        <v>0.65039574597308281</v>
      </c>
      <c r="J146" s="48">
        <f t="shared" ref="J146:J157" si="27">(($F146/(1-J$9)))</f>
        <v>676.35749999999996</v>
      </c>
      <c r="K146" s="48">
        <f t="shared" ref="K146:K157" si="28">(($F146/(1-$K$9)))</f>
        <v>832.44000000000017</v>
      </c>
      <c r="L146" s="48">
        <f t="shared" ref="L146:L157" si="29">(($F146/(1-L$9)))</f>
        <v>1082.172</v>
      </c>
    </row>
    <row r="147" spans="2:12" ht="18.75" customHeight="1" x14ac:dyDescent="0.25">
      <c r="B147" s="42" t="s">
        <v>221</v>
      </c>
      <c r="C147" s="43">
        <v>9</v>
      </c>
      <c r="D147" s="52" t="s">
        <v>222</v>
      </c>
      <c r="E147" s="218" t="str">
        <f>VLOOKUP(D147,Sheet1!B:C, 2, FALSE)</f>
        <v>D09500004VXHAWT</v>
      </c>
      <c r="F147" s="45">
        <v>702.65773000000002</v>
      </c>
      <c r="G147" s="46">
        <f>CEILING((Master!F193*1.06),0.5)</f>
        <v>5163.5</v>
      </c>
      <c r="H147" s="46">
        <f t="shared" si="25"/>
        <v>1910.4949999999999</v>
      </c>
      <c r="I147" s="47">
        <f t="shared" si="26"/>
        <v>0.63221168859379373</v>
      </c>
      <c r="J147" s="48">
        <f t="shared" si="27"/>
        <v>1756.644325</v>
      </c>
      <c r="K147" s="48">
        <f t="shared" si="28"/>
        <v>2162.023784615385</v>
      </c>
      <c r="L147" s="48">
        <f t="shared" si="29"/>
        <v>2810.6309200000001</v>
      </c>
    </row>
    <row r="148" spans="2:12" ht="18.75" customHeight="1" x14ac:dyDescent="0.25">
      <c r="B148" s="42" t="s">
        <v>223</v>
      </c>
      <c r="C148" s="43">
        <v>0.1</v>
      </c>
      <c r="D148" s="52" t="s">
        <v>224</v>
      </c>
      <c r="E148" s="218" t="str">
        <f>VLOOKUP(D148,Sheet1!B:C, 2, FALSE)</f>
        <v>K09500000VXWTRR</v>
      </c>
      <c r="F148" s="45">
        <v>37.204889999999999</v>
      </c>
      <c r="G148" s="90">
        <f>CEILING((K148/$H$5),0.5)</f>
        <v>309.5</v>
      </c>
      <c r="H148" s="46">
        <f t="shared" si="25"/>
        <v>114.515</v>
      </c>
      <c r="I148" s="47">
        <f t="shared" si="26"/>
        <v>0.67510902501855663</v>
      </c>
      <c r="J148" s="48">
        <f t="shared" si="27"/>
        <v>93.012224999999987</v>
      </c>
      <c r="K148" s="48">
        <f t="shared" si="28"/>
        <v>114.47658461538462</v>
      </c>
      <c r="L148" s="48">
        <f t="shared" si="29"/>
        <v>148.81956</v>
      </c>
    </row>
    <row r="149" spans="2:12" ht="18.75" customHeight="1" x14ac:dyDescent="0.25">
      <c r="B149" s="42" t="s">
        <v>225</v>
      </c>
      <c r="C149" s="43">
        <v>52</v>
      </c>
      <c r="D149" s="112" t="s">
        <v>226</v>
      </c>
      <c r="E149" s="218" t="str">
        <f>VLOOKUP(D149,Sheet1!B:C, 2, FALSE)</f>
        <v>D09500010VXWTW0</v>
      </c>
      <c r="F149" s="45">
        <v>1470.2704200000001</v>
      </c>
      <c r="G149" s="46">
        <f>CEILING((Master!F194*1.06),0.5)</f>
        <v>11534</v>
      </c>
      <c r="H149" s="46">
        <f t="shared" si="25"/>
        <v>4267.58</v>
      </c>
      <c r="I149" s="47">
        <f t="shared" si="26"/>
        <v>0.65547911931352199</v>
      </c>
      <c r="J149" s="48">
        <f t="shared" si="27"/>
        <v>3675.67605</v>
      </c>
      <c r="K149" s="48">
        <f t="shared" si="28"/>
        <v>4523.9089846153856</v>
      </c>
      <c r="L149" s="48">
        <f t="shared" si="29"/>
        <v>5881.0816800000002</v>
      </c>
    </row>
    <row r="150" spans="2:12" ht="18.75" customHeight="1" x14ac:dyDescent="0.25">
      <c r="B150" s="42" t="s">
        <v>227</v>
      </c>
      <c r="C150" s="43">
        <v>105</v>
      </c>
      <c r="D150" s="113" t="s">
        <v>228</v>
      </c>
      <c r="E150" s="218" t="str">
        <f>VLOOKUP(D150,Sheet1!B:C, 2, FALSE)</f>
        <v>D09500030VXWTW0</v>
      </c>
      <c r="F150" s="45">
        <v>1638.2704200000001</v>
      </c>
      <c r="G150" s="46">
        <f>CEILING((Master!F195*1.06),0.5)</f>
        <v>13148</v>
      </c>
      <c r="H150" s="46">
        <f t="shared" si="25"/>
        <v>4864.76</v>
      </c>
      <c r="I150" s="47">
        <f t="shared" si="26"/>
        <v>0.66323715455644272</v>
      </c>
      <c r="J150" s="48">
        <f t="shared" si="27"/>
        <v>4095.67605</v>
      </c>
      <c r="K150" s="48">
        <f t="shared" si="28"/>
        <v>5040.8320615384628</v>
      </c>
      <c r="L150" s="48">
        <f t="shared" si="29"/>
        <v>6553.0816800000002</v>
      </c>
    </row>
    <row r="151" spans="2:12" ht="18.75" customHeight="1" x14ac:dyDescent="0.25">
      <c r="B151" s="42" t="s">
        <v>229</v>
      </c>
      <c r="C151" s="43">
        <v>144</v>
      </c>
      <c r="D151" s="113" t="s">
        <v>230</v>
      </c>
      <c r="E151" s="218" t="str">
        <f>VLOOKUP(D151,Sheet1!B:C, 2, FALSE)</f>
        <v>D09500030VXWTWC</v>
      </c>
      <c r="F151" s="45">
        <v>9356.4279200000001</v>
      </c>
      <c r="G151" s="90">
        <f>CEILING((J151/$H$5),0.5)</f>
        <v>63219.5</v>
      </c>
      <c r="H151" s="46">
        <f t="shared" si="25"/>
        <v>23391.215</v>
      </c>
      <c r="I151" s="47">
        <f t="shared" si="26"/>
        <v>0.60000248298346193</v>
      </c>
      <c r="J151" s="48">
        <f t="shared" si="27"/>
        <v>23391.069799999997</v>
      </c>
      <c r="K151" s="48">
        <f t="shared" si="28"/>
        <v>28789.00898461539</v>
      </c>
      <c r="L151" s="48">
        <f t="shared" si="29"/>
        <v>37425.71168</v>
      </c>
    </row>
    <row r="152" spans="2:12" ht="18.75" customHeight="1" x14ac:dyDescent="0.25">
      <c r="B152" s="42" t="s">
        <v>231</v>
      </c>
      <c r="C152" s="43">
        <v>189</v>
      </c>
      <c r="D152" s="113" t="s">
        <v>232</v>
      </c>
      <c r="E152" s="218" t="str">
        <f>VLOOKUP(D152,Sheet1!B:C, 2, FALSE)</f>
        <v>D09500060VXWTW0</v>
      </c>
      <c r="F152" s="45">
        <v>2249.2704199999998</v>
      </c>
      <c r="G152" s="46">
        <f>CEILING((Master!F196*1.06),0.5)</f>
        <v>16067.5</v>
      </c>
      <c r="H152" s="46">
        <f t="shared" si="25"/>
        <v>5944.9750000000004</v>
      </c>
      <c r="I152" s="47">
        <f t="shared" si="26"/>
        <v>0.62165182864520041</v>
      </c>
      <c r="J152" s="48">
        <f t="shared" si="27"/>
        <v>5623.1760499999991</v>
      </c>
      <c r="K152" s="48">
        <f t="shared" si="28"/>
        <v>6920.8320615384619</v>
      </c>
      <c r="L152" s="48">
        <f t="shared" si="29"/>
        <v>8997.0816799999993</v>
      </c>
    </row>
    <row r="153" spans="2:12" ht="18.75" customHeight="1" x14ac:dyDescent="0.25">
      <c r="B153" s="42" t="s">
        <v>233</v>
      </c>
      <c r="C153" s="43">
        <v>249</v>
      </c>
      <c r="D153" s="113" t="s">
        <v>234</v>
      </c>
      <c r="E153" s="218" t="str">
        <f>VLOOKUP(D153,Sheet1!B:C, 2, FALSE)</f>
        <v>D09500080VXWTW0</v>
      </c>
      <c r="F153" s="45">
        <v>2427.2704199999998</v>
      </c>
      <c r="G153" s="46">
        <f>CEILING((Master!F197*1.06),0.5)</f>
        <v>19201</v>
      </c>
      <c r="H153" s="46">
        <f t="shared" si="25"/>
        <v>7104.37</v>
      </c>
      <c r="I153" s="47">
        <f t="shared" si="26"/>
        <v>0.65834121533647605</v>
      </c>
      <c r="J153" s="48">
        <f t="shared" si="27"/>
        <v>6068.1760499999991</v>
      </c>
      <c r="K153" s="48">
        <f t="shared" si="28"/>
        <v>7468.5243692307695</v>
      </c>
      <c r="L153" s="48">
        <f t="shared" si="29"/>
        <v>9709.0816799999993</v>
      </c>
    </row>
    <row r="154" spans="2:12" ht="18.75" customHeight="1" x14ac:dyDescent="0.25">
      <c r="B154" s="42" t="s">
        <v>235</v>
      </c>
      <c r="C154" s="43">
        <v>353</v>
      </c>
      <c r="D154" s="113" t="s">
        <v>236</v>
      </c>
      <c r="E154" s="218" t="str">
        <f>VLOOKUP(D154,Sheet1!B:C, 2, FALSE)</f>
        <v>D09501200VXWTW0</v>
      </c>
      <c r="F154" s="45">
        <v>2477.1737600000001</v>
      </c>
      <c r="G154" s="46">
        <f>CEILING((Master!F198*1.06),0.5)</f>
        <v>21797</v>
      </c>
      <c r="H154" s="46">
        <f t="shared" si="25"/>
        <v>8064.89</v>
      </c>
      <c r="I154" s="47">
        <f t="shared" si="26"/>
        <v>0.69284469348001021</v>
      </c>
      <c r="J154" s="48">
        <f t="shared" si="27"/>
        <v>6192.9344000000001</v>
      </c>
      <c r="K154" s="48">
        <f t="shared" si="28"/>
        <v>7622.0731076923093</v>
      </c>
      <c r="L154" s="48">
        <f t="shared" si="29"/>
        <v>9908.6950400000005</v>
      </c>
    </row>
    <row r="155" spans="2:12" ht="18.75" customHeight="1" x14ac:dyDescent="0.25">
      <c r="B155" s="42" t="s">
        <v>237</v>
      </c>
      <c r="C155" s="43">
        <v>640</v>
      </c>
      <c r="D155" s="113" t="s">
        <v>238</v>
      </c>
      <c r="E155" s="218" t="str">
        <f>VLOOKUP(D155,Sheet1!B:C, 2, FALSE)</f>
        <v>D09502000VXWTW0</v>
      </c>
      <c r="F155" s="45">
        <v>2332.1737600000001</v>
      </c>
      <c r="G155" s="46">
        <f>CEILING((Master!F199*1.06),0.5)</f>
        <v>24025</v>
      </c>
      <c r="H155" s="46">
        <f t="shared" si="25"/>
        <v>8889.25</v>
      </c>
      <c r="I155" s="47">
        <f t="shared" si="26"/>
        <v>0.73764111032989288</v>
      </c>
      <c r="J155" s="48">
        <f t="shared" si="27"/>
        <v>5830.4344000000001</v>
      </c>
      <c r="K155" s="48">
        <f t="shared" si="28"/>
        <v>7175.9192615384627</v>
      </c>
      <c r="L155" s="48">
        <f t="shared" si="29"/>
        <v>9328.6950400000005</v>
      </c>
    </row>
    <row r="156" spans="2:12" ht="19.7" customHeight="1" x14ac:dyDescent="0.25">
      <c r="B156" s="42" t="s">
        <v>239</v>
      </c>
      <c r="C156" s="43">
        <v>1072</v>
      </c>
      <c r="D156" s="113" t="s">
        <v>240</v>
      </c>
      <c r="E156" s="218" t="str">
        <f>VLOOKUP(D156,Sheet1!B:C, 2, FALSE)</f>
        <v>D09504000VXWTW0</v>
      </c>
      <c r="F156" s="45">
        <v>5046.1737599999997</v>
      </c>
      <c r="G156" s="46">
        <f>CEILING((Master!F200*1.06),0.5)</f>
        <v>32068.5</v>
      </c>
      <c r="H156" s="46">
        <f t="shared" si="25"/>
        <v>11865.344999999999</v>
      </c>
      <c r="I156" s="47">
        <f t="shared" si="26"/>
        <v>0.57471327129552496</v>
      </c>
      <c r="J156" s="48">
        <f t="shared" si="27"/>
        <v>12615.434399999998</v>
      </c>
      <c r="K156" s="48">
        <f t="shared" si="28"/>
        <v>15526.688492307694</v>
      </c>
      <c r="L156" s="48">
        <f t="shared" si="29"/>
        <v>20184.695039999999</v>
      </c>
    </row>
    <row r="157" spans="2:12" ht="18.75" customHeight="1" x14ac:dyDescent="0.25">
      <c r="B157" s="42" t="s">
        <v>241</v>
      </c>
      <c r="C157" s="43">
        <v>5.0999999999999996</v>
      </c>
      <c r="D157" s="44" t="s">
        <v>242</v>
      </c>
      <c r="E157" s="219" t="s">
        <v>1920</v>
      </c>
      <c r="F157" s="114">
        <v>44.58</v>
      </c>
      <c r="G157" s="46">
        <f>CEILING((Master!F201*1.06),0.5)</f>
        <v>597.5</v>
      </c>
      <c r="H157" s="46">
        <f t="shared" si="25"/>
        <v>221.07499999999999</v>
      </c>
      <c r="I157" s="47">
        <f t="shared" si="26"/>
        <v>0.79834897659165449</v>
      </c>
      <c r="J157" s="48">
        <f t="shared" si="27"/>
        <v>111.44999999999999</v>
      </c>
      <c r="K157" s="48">
        <f t="shared" si="28"/>
        <v>137.16923076923078</v>
      </c>
      <c r="L157" s="48">
        <f t="shared" si="29"/>
        <v>178.32</v>
      </c>
    </row>
    <row r="158" spans="2:12" ht="18.75" customHeight="1" thickBot="1" x14ac:dyDescent="0.3">
      <c r="B158" s="216" t="s">
        <v>243</v>
      </c>
      <c r="C158" s="216"/>
      <c r="D158" s="216"/>
      <c r="E158" s="240"/>
      <c r="F158" s="216"/>
      <c r="G158" s="216"/>
      <c r="H158" s="216"/>
      <c r="I158" s="115"/>
      <c r="J158" s="115"/>
      <c r="K158" s="115"/>
      <c r="L158" s="115"/>
    </row>
    <row r="159" spans="2:12" ht="18.75" customHeight="1" x14ac:dyDescent="0.25">
      <c r="B159" s="42" t="s">
        <v>244</v>
      </c>
      <c r="C159" s="43">
        <v>1.5</v>
      </c>
      <c r="D159" s="49" t="s">
        <v>245</v>
      </c>
      <c r="E159" s="219" t="s">
        <v>1921</v>
      </c>
      <c r="F159" s="116">
        <v>142.43</v>
      </c>
      <c r="G159" s="46">
        <f>CEILING((Master!F203*1.06),0.5)</f>
        <v>1874</v>
      </c>
      <c r="H159" s="46">
        <f>G159*$H$5</f>
        <v>693.38</v>
      </c>
      <c r="I159" s="47">
        <f>((H159-F159)/H159)</f>
        <v>0.79458594133087201</v>
      </c>
      <c r="J159" s="48">
        <f>(($F159/(1-J$9)))</f>
        <v>356.07499999999999</v>
      </c>
      <c r="K159" s="48">
        <f>(($F159/(1-$K$9)))</f>
        <v>438.2461538461539</v>
      </c>
      <c r="L159" s="48">
        <f>(($F159/(1-L$9)))</f>
        <v>569.72</v>
      </c>
    </row>
    <row r="160" spans="2:12" ht="18.75" customHeight="1" thickBot="1" x14ac:dyDescent="0.3">
      <c r="B160" s="42" t="s">
        <v>246</v>
      </c>
      <c r="C160" s="43">
        <v>0.4</v>
      </c>
      <c r="D160" s="49" t="s">
        <v>247</v>
      </c>
      <c r="E160" s="218" t="str">
        <f>VLOOKUP(D160,Sheet1!B:C, 2, FALSE)</f>
        <v>P09500004ZZ0WTR</v>
      </c>
      <c r="F160" s="92">
        <v>83</v>
      </c>
      <c r="G160" s="46">
        <f>CEILING((Master!F204*1.06),0.5)</f>
        <v>870</v>
      </c>
      <c r="H160" s="46">
        <f>G160*$H$5</f>
        <v>321.89999999999998</v>
      </c>
      <c r="I160" s="47">
        <f>((H160-F160)/H160)</f>
        <v>0.74215594905250071</v>
      </c>
      <c r="J160" s="48">
        <f>(($F160/(1-J$9)))</f>
        <v>207.5</v>
      </c>
      <c r="K160" s="48">
        <f>(($F160/(1-$K$9)))</f>
        <v>255.38461538461542</v>
      </c>
      <c r="L160" s="48">
        <f>(($F160/(1-L$9)))</f>
        <v>332</v>
      </c>
    </row>
    <row r="161" spans="2:12" ht="18.75" customHeight="1" thickBot="1" x14ac:dyDescent="0.3">
      <c r="B161" s="205"/>
      <c r="C161" s="205"/>
      <c r="D161" s="205"/>
      <c r="E161" s="231"/>
      <c r="F161" s="205"/>
      <c r="G161" s="205"/>
      <c r="H161" s="205"/>
      <c r="I161" s="77"/>
      <c r="J161" s="117"/>
      <c r="K161" s="117"/>
      <c r="L161" s="117"/>
    </row>
    <row r="162" spans="2:12" ht="18.75" customHeight="1" thickBot="1" x14ac:dyDescent="0.3">
      <c r="B162" s="214" t="s">
        <v>248</v>
      </c>
      <c r="C162" s="214"/>
      <c r="D162" s="214"/>
      <c r="E162" s="224"/>
      <c r="F162" s="214"/>
      <c r="G162" s="214"/>
      <c r="H162" s="214"/>
      <c r="I162" s="91"/>
      <c r="J162" s="91"/>
      <c r="K162" s="91"/>
      <c r="L162" s="91"/>
    </row>
    <row r="163" spans="2:12" ht="18.75" customHeight="1" x14ac:dyDescent="0.25">
      <c r="B163" s="42" t="s">
        <v>249</v>
      </c>
      <c r="C163" s="43">
        <v>0.1</v>
      </c>
      <c r="D163" s="118" t="s">
        <v>250</v>
      </c>
      <c r="E163" s="218" t="str">
        <f>VLOOKUP(D163,Sheet1!B:C, 2, FALSE)</f>
        <v>ZL0552200000000</v>
      </c>
      <c r="F163" s="68">
        <v>2.72</v>
      </c>
      <c r="G163" s="46">
        <f>CEILING((Master!F207*1.06),0.5)</f>
        <v>101.5</v>
      </c>
      <c r="H163" s="46">
        <f t="shared" ref="H163:H170" si="30">G163*$H$5</f>
        <v>37.555</v>
      </c>
      <c r="I163" s="47">
        <f t="shared" ref="I163:I170" si="31">((H163-F163)/H163)</f>
        <v>0.92757289309013446</v>
      </c>
      <c r="J163" s="48">
        <f t="shared" ref="J163:J170" si="32">(($F163/(1-J$9)))</f>
        <v>6.8</v>
      </c>
      <c r="K163" s="48">
        <f t="shared" ref="K163:K170" si="33">(($F163/(1-$K$9)))</f>
        <v>8.3692307692307715</v>
      </c>
      <c r="L163" s="48">
        <f t="shared" ref="L163:L170" si="34">(($F163/(1-L$9)))</f>
        <v>10.88</v>
      </c>
    </row>
    <row r="164" spans="2:12" ht="18.75" customHeight="1" x14ac:dyDescent="0.25">
      <c r="B164" s="42" t="s">
        <v>251</v>
      </c>
      <c r="C164" s="43">
        <v>0.1</v>
      </c>
      <c r="D164" s="85" t="s">
        <v>252</v>
      </c>
      <c r="E164" s="218" t="str">
        <f>VLOOKUP(D164,Sheet1!B:C, 2, FALSE)</f>
        <v>ZL0552300000000</v>
      </c>
      <c r="F164" s="68">
        <v>4.42</v>
      </c>
      <c r="G164" s="46">
        <f>CEILING((Master!F208*1.06),0.5)</f>
        <v>101.5</v>
      </c>
      <c r="H164" s="46">
        <f t="shared" si="30"/>
        <v>37.555</v>
      </c>
      <c r="I164" s="47">
        <f t="shared" si="31"/>
        <v>0.88230595127146849</v>
      </c>
      <c r="J164" s="48">
        <f t="shared" si="32"/>
        <v>11.049999999999999</v>
      </c>
      <c r="K164" s="48">
        <f t="shared" si="33"/>
        <v>13.600000000000001</v>
      </c>
      <c r="L164" s="48">
        <f t="shared" si="34"/>
        <v>17.68</v>
      </c>
    </row>
    <row r="165" spans="2:12" ht="18.75" customHeight="1" x14ac:dyDescent="0.25">
      <c r="B165" s="42" t="s">
        <v>253</v>
      </c>
      <c r="C165" s="43">
        <v>0.1</v>
      </c>
      <c r="D165" s="85" t="s">
        <v>254</v>
      </c>
      <c r="E165" s="219" t="s">
        <v>1922</v>
      </c>
      <c r="F165" s="68">
        <v>12.6</v>
      </c>
      <c r="G165" s="46">
        <f>CEILING((Master!F209*1.06),0.5)</f>
        <v>101.5</v>
      </c>
      <c r="H165" s="46">
        <f t="shared" si="30"/>
        <v>37.555</v>
      </c>
      <c r="I165" s="47">
        <f t="shared" si="31"/>
        <v>0.66449207828518164</v>
      </c>
      <c r="J165" s="48">
        <f t="shared" si="32"/>
        <v>31.499999999999996</v>
      </c>
      <c r="K165" s="48">
        <f t="shared" si="33"/>
        <v>38.769230769230774</v>
      </c>
      <c r="L165" s="48">
        <f t="shared" si="34"/>
        <v>50.4</v>
      </c>
    </row>
    <row r="166" spans="2:12" ht="19.7" customHeight="1" x14ac:dyDescent="0.25">
      <c r="B166" s="42" t="s">
        <v>255</v>
      </c>
      <c r="C166" s="43">
        <v>0.1</v>
      </c>
      <c r="D166" s="85" t="s">
        <v>256</v>
      </c>
      <c r="E166" s="219" t="s">
        <v>1923</v>
      </c>
      <c r="F166" s="119">
        <v>12.6</v>
      </c>
      <c r="G166" s="46">
        <f>CEILING((Master!F210*1.06),0.5)</f>
        <v>55</v>
      </c>
      <c r="H166" s="46">
        <f t="shared" si="30"/>
        <v>20.350000000000001</v>
      </c>
      <c r="I166" s="47">
        <f t="shared" si="31"/>
        <v>0.38083538083538088</v>
      </c>
      <c r="J166" s="48">
        <f t="shared" si="32"/>
        <v>31.499999999999996</v>
      </c>
      <c r="K166" s="48">
        <f t="shared" si="33"/>
        <v>38.769230769230774</v>
      </c>
      <c r="L166" s="48">
        <f t="shared" si="34"/>
        <v>50.4</v>
      </c>
    </row>
    <row r="167" spans="2:12" ht="18.75" customHeight="1" x14ac:dyDescent="0.25">
      <c r="B167" s="42" t="s">
        <v>257</v>
      </c>
      <c r="C167" s="43">
        <v>0.1</v>
      </c>
      <c r="D167" s="118" t="s">
        <v>258</v>
      </c>
      <c r="E167" s="218" t="str">
        <f>VLOOKUP(D167,Sheet1!B:C, 2, FALSE)</f>
        <v>ZL0497600000000</v>
      </c>
      <c r="F167" s="119">
        <v>5.28</v>
      </c>
      <c r="G167" s="46">
        <f>CEILING((Master!F211*1.06),0.5)</f>
        <v>55</v>
      </c>
      <c r="H167" s="46">
        <f t="shared" si="30"/>
        <v>20.350000000000001</v>
      </c>
      <c r="I167" s="47">
        <f t="shared" si="31"/>
        <v>0.74054054054054053</v>
      </c>
      <c r="J167" s="48">
        <f t="shared" si="32"/>
        <v>13.2</v>
      </c>
      <c r="K167" s="48">
        <f t="shared" si="33"/>
        <v>16.246153846153849</v>
      </c>
      <c r="L167" s="48">
        <f t="shared" si="34"/>
        <v>21.12</v>
      </c>
    </row>
    <row r="168" spans="2:12" ht="18.75" customHeight="1" x14ac:dyDescent="0.25">
      <c r="B168" s="42" t="s">
        <v>259</v>
      </c>
      <c r="C168" s="43">
        <v>0.1</v>
      </c>
      <c r="D168" s="120" t="s">
        <v>260</v>
      </c>
      <c r="E168" s="218" t="str">
        <f>VLOOKUP(D168,Sheet1!B:C, 2, FALSE)</f>
        <v>ZL0663600000000</v>
      </c>
      <c r="F168" s="119">
        <v>21.8</v>
      </c>
      <c r="G168" s="90">
        <f>CEILING((J168/$H$5),0.5)</f>
        <v>147.5</v>
      </c>
      <c r="H168" s="46">
        <f t="shared" si="30"/>
        <v>54.575000000000003</v>
      </c>
      <c r="I168" s="47">
        <f t="shared" si="31"/>
        <v>0.60054970224461757</v>
      </c>
      <c r="J168" s="48">
        <f t="shared" si="32"/>
        <v>54.5</v>
      </c>
      <c r="K168" s="48">
        <f t="shared" si="33"/>
        <v>67.076923076923094</v>
      </c>
      <c r="L168" s="48">
        <f t="shared" si="34"/>
        <v>87.2</v>
      </c>
    </row>
    <row r="169" spans="2:12" ht="18.75" customHeight="1" x14ac:dyDescent="0.25">
      <c r="B169" s="42" t="s">
        <v>261</v>
      </c>
      <c r="C169" s="43">
        <v>0.1</v>
      </c>
      <c r="D169" s="85" t="s">
        <v>262</v>
      </c>
      <c r="E169" s="219" t="s">
        <v>1925</v>
      </c>
      <c r="F169" s="119">
        <v>12.6</v>
      </c>
      <c r="G169" s="46">
        <f>CEILING((Master!F213*1.06),0.5)</f>
        <v>55</v>
      </c>
      <c r="H169" s="46">
        <f t="shared" si="30"/>
        <v>20.350000000000001</v>
      </c>
      <c r="I169" s="47">
        <f t="shared" si="31"/>
        <v>0.38083538083538088</v>
      </c>
      <c r="J169" s="48">
        <f t="shared" si="32"/>
        <v>31.499999999999996</v>
      </c>
      <c r="K169" s="48">
        <f t="shared" si="33"/>
        <v>38.769230769230774</v>
      </c>
      <c r="L169" s="48">
        <f t="shared" si="34"/>
        <v>50.4</v>
      </c>
    </row>
    <row r="170" spans="2:12" ht="18.75" customHeight="1" thickBot="1" x14ac:dyDescent="0.3">
      <c r="B170" s="42" t="s">
        <v>263</v>
      </c>
      <c r="C170" s="43">
        <v>0.1</v>
      </c>
      <c r="D170" s="120" t="s">
        <v>264</v>
      </c>
      <c r="E170" s="219" t="s">
        <v>1924</v>
      </c>
      <c r="F170" s="92">
        <v>12.6</v>
      </c>
      <c r="G170" s="46">
        <f>CEILING((Master!F214*1.06),0.5)</f>
        <v>55</v>
      </c>
      <c r="H170" s="46">
        <f t="shared" si="30"/>
        <v>20.350000000000001</v>
      </c>
      <c r="I170" s="47">
        <f t="shared" si="31"/>
        <v>0.38083538083538088</v>
      </c>
      <c r="J170" s="48">
        <f t="shared" si="32"/>
        <v>31.499999999999996</v>
      </c>
      <c r="K170" s="48">
        <f t="shared" si="33"/>
        <v>38.769230769230774</v>
      </c>
      <c r="L170" s="48">
        <f t="shared" si="34"/>
        <v>50.4</v>
      </c>
    </row>
    <row r="171" spans="2:12" ht="18.75" customHeight="1" thickBot="1" x14ac:dyDescent="0.3">
      <c r="B171" s="205"/>
      <c r="C171" s="205"/>
      <c r="D171" s="205"/>
      <c r="E171" s="231"/>
      <c r="F171" s="205"/>
      <c r="G171" s="205"/>
      <c r="H171" s="205"/>
      <c r="I171" s="77"/>
      <c r="J171" s="117"/>
      <c r="K171" s="117"/>
      <c r="L171" s="117"/>
    </row>
    <row r="172" spans="2:12" ht="18.75" customHeight="1" thickBot="1" x14ac:dyDescent="0.3">
      <c r="B172" s="214" t="s">
        <v>265</v>
      </c>
      <c r="C172" s="214"/>
      <c r="D172" s="214"/>
      <c r="E172" s="224"/>
      <c r="F172" s="214"/>
      <c r="G172" s="214"/>
      <c r="H172" s="214"/>
      <c r="I172" s="91"/>
      <c r="J172" s="91"/>
      <c r="K172" s="91"/>
      <c r="L172" s="91"/>
    </row>
    <row r="173" spans="2:12" ht="18.75" customHeight="1" x14ac:dyDescent="0.25">
      <c r="B173" s="42" t="s">
        <v>266</v>
      </c>
      <c r="C173" s="43">
        <v>0.5</v>
      </c>
      <c r="D173" s="121" t="s">
        <v>267</v>
      </c>
      <c r="E173" s="218" t="str">
        <f>VLOOKUP(D173,Sheet1!B:C, 2, FALSE)</f>
        <v>D09530002VXC0OP</v>
      </c>
      <c r="F173" s="122">
        <v>0.69499999999999995</v>
      </c>
      <c r="G173" s="46">
        <f>CEILING((Master!F217*1.06),0.5)</f>
        <v>32</v>
      </c>
      <c r="H173" s="46">
        <f t="shared" ref="H173:H193" si="35">G173*$H$5</f>
        <v>11.84</v>
      </c>
      <c r="I173" s="47">
        <f t="shared" ref="I173:I193" si="36">((H173-F173)/H173)</f>
        <v>0.94130067567567566</v>
      </c>
      <c r="J173" s="48">
        <f t="shared" ref="J173:J193" si="37">(($F173/(1-J$9)))</f>
        <v>1.7374999999999998</v>
      </c>
      <c r="K173" s="48">
        <f t="shared" ref="K173:K193" si="38">(($F173/(1-$K$9)))</f>
        <v>2.1384615384615384</v>
      </c>
      <c r="L173" s="48">
        <f t="shared" ref="L173:L193" si="39">(($F173/(1-L$9)))</f>
        <v>2.78</v>
      </c>
    </row>
    <row r="174" spans="2:12" ht="18.75" customHeight="1" x14ac:dyDescent="0.25">
      <c r="B174" s="42" t="s">
        <v>268</v>
      </c>
      <c r="C174" s="43">
        <v>0.1</v>
      </c>
      <c r="D174" s="123" t="s">
        <v>269</v>
      </c>
      <c r="E174" s="218" t="str">
        <f>VLOOKUP(D174,Sheet1!B:C, 2, FALSE)</f>
        <v>D09530002VXE0BP</v>
      </c>
      <c r="F174" s="122">
        <v>0.70750000000000002</v>
      </c>
      <c r="G174" s="46">
        <f>CEILING((Master!F218*1.06),0.5)</f>
        <v>32</v>
      </c>
      <c r="H174" s="46">
        <f t="shared" si="35"/>
        <v>11.84</v>
      </c>
      <c r="I174" s="47">
        <f t="shared" si="36"/>
        <v>0.94024493243243246</v>
      </c>
      <c r="J174" s="48">
        <f t="shared" si="37"/>
        <v>1.76875</v>
      </c>
      <c r="K174" s="48">
        <f t="shared" si="38"/>
        <v>2.1769230769230772</v>
      </c>
      <c r="L174" s="48">
        <f t="shared" si="39"/>
        <v>2.83</v>
      </c>
    </row>
    <row r="175" spans="2:12" ht="18.75" customHeight="1" x14ac:dyDescent="0.25">
      <c r="B175" s="42" t="s">
        <v>270</v>
      </c>
      <c r="C175" s="43">
        <v>0.5</v>
      </c>
      <c r="D175" s="85" t="s">
        <v>271</v>
      </c>
      <c r="E175" s="218" t="str">
        <f>VLOOKUP(D175,Sheet1!B:C, 2, FALSE)</f>
        <v>D09530000VXC0OP</v>
      </c>
      <c r="F175" s="68">
        <v>0.8</v>
      </c>
      <c r="G175" s="46">
        <f>CEILING((Master!F219*1.06),0.5)</f>
        <v>32</v>
      </c>
      <c r="H175" s="46">
        <f t="shared" si="35"/>
        <v>11.84</v>
      </c>
      <c r="I175" s="47">
        <f t="shared" si="36"/>
        <v>0.93243243243243235</v>
      </c>
      <c r="J175" s="48">
        <f t="shared" si="37"/>
        <v>2</v>
      </c>
      <c r="K175" s="48">
        <f t="shared" si="38"/>
        <v>2.4615384615384621</v>
      </c>
      <c r="L175" s="48">
        <f t="shared" si="39"/>
        <v>3.2</v>
      </c>
    </row>
    <row r="176" spans="2:12" ht="18.75" customHeight="1" x14ac:dyDescent="0.25">
      <c r="B176" s="42" t="s">
        <v>272</v>
      </c>
      <c r="C176" s="43">
        <v>1</v>
      </c>
      <c r="D176" s="85" t="s">
        <v>273</v>
      </c>
      <c r="E176" s="218" t="str">
        <f>VLOOKUP(D176,Sheet1!B:C, 2, FALSE)</f>
        <v>K09500000VXPK00</v>
      </c>
      <c r="F176" s="68">
        <v>8.1505299999999998</v>
      </c>
      <c r="G176" s="46">
        <f>CEILING((Master!F220*1.06),0.5)</f>
        <v>184</v>
      </c>
      <c r="H176" s="46">
        <f t="shared" si="35"/>
        <v>68.08</v>
      </c>
      <c r="I176" s="47">
        <f t="shared" si="36"/>
        <v>0.8802801116333725</v>
      </c>
      <c r="J176" s="48">
        <f t="shared" si="37"/>
        <v>20.376324999999998</v>
      </c>
      <c r="K176" s="48">
        <f t="shared" si="38"/>
        <v>25.078553846153849</v>
      </c>
      <c r="L176" s="48">
        <f t="shared" si="39"/>
        <v>32.602119999999999</v>
      </c>
    </row>
    <row r="177" spans="2:12" ht="18.75" customHeight="1" x14ac:dyDescent="0.25">
      <c r="B177" s="42" t="s">
        <v>274</v>
      </c>
      <c r="C177" s="43">
        <v>1</v>
      </c>
      <c r="D177" s="85" t="s">
        <v>275</v>
      </c>
      <c r="E177" s="218" t="str">
        <f>VLOOKUP(D177,Sheet1!B:C, 2, FALSE)</f>
        <v>D09550004VX40DH</v>
      </c>
      <c r="F177" s="68">
        <v>28.98</v>
      </c>
      <c r="G177" s="46">
        <f>CEILING((Master!F221*1.06),0.5)</f>
        <v>526</v>
      </c>
      <c r="H177" s="46">
        <f t="shared" si="35"/>
        <v>194.62</v>
      </c>
      <c r="I177" s="47">
        <f t="shared" si="36"/>
        <v>0.85109444044805271</v>
      </c>
      <c r="J177" s="48">
        <f t="shared" si="37"/>
        <v>72.45</v>
      </c>
      <c r="K177" s="48">
        <f t="shared" si="38"/>
        <v>89.169230769230779</v>
      </c>
      <c r="L177" s="48">
        <f t="shared" si="39"/>
        <v>115.92</v>
      </c>
    </row>
    <row r="178" spans="2:12" ht="18.75" customHeight="1" x14ac:dyDescent="0.25">
      <c r="B178" s="42" t="s">
        <v>276</v>
      </c>
      <c r="C178" s="43">
        <v>1</v>
      </c>
      <c r="D178" s="85" t="s">
        <v>277</v>
      </c>
      <c r="E178" s="218" t="str">
        <f>VLOOKUP(D178,Sheet1!B:C, 2, FALSE)</f>
        <v>D09550080VX8DH0</v>
      </c>
      <c r="F178" s="68">
        <v>25.795000000000002</v>
      </c>
      <c r="G178" s="46">
        <f>CEILING((Master!F222*1.06),0.5)</f>
        <v>483</v>
      </c>
      <c r="H178" s="46">
        <f t="shared" si="35"/>
        <v>178.71</v>
      </c>
      <c r="I178" s="47">
        <f t="shared" si="36"/>
        <v>0.85566000783392093</v>
      </c>
      <c r="J178" s="48">
        <f t="shared" si="37"/>
        <v>64.487499999999997</v>
      </c>
      <c r="K178" s="48">
        <f t="shared" si="38"/>
        <v>79.369230769230782</v>
      </c>
      <c r="L178" s="48">
        <f t="shared" si="39"/>
        <v>103.18</v>
      </c>
    </row>
    <row r="179" spans="2:12" ht="18.75" customHeight="1" x14ac:dyDescent="0.25">
      <c r="B179" s="42" t="s">
        <v>278</v>
      </c>
      <c r="C179" s="43">
        <v>1</v>
      </c>
      <c r="D179" s="85" t="s">
        <v>279</v>
      </c>
      <c r="E179" s="218" t="str">
        <f>VLOOKUP(D179,Sheet1!B:C, 2, FALSE)</f>
        <v>D09500006VXSICV</v>
      </c>
      <c r="F179" s="68">
        <v>13.870799999999999</v>
      </c>
      <c r="G179" s="46">
        <f>CEILING((Master!F223*1.06),0.5)</f>
        <v>316</v>
      </c>
      <c r="H179" s="46">
        <f t="shared" si="35"/>
        <v>116.92</v>
      </c>
      <c r="I179" s="47">
        <f t="shared" si="36"/>
        <v>0.88136503592199789</v>
      </c>
      <c r="J179" s="48">
        <f t="shared" si="37"/>
        <v>34.676999999999992</v>
      </c>
      <c r="K179" s="48">
        <f t="shared" si="38"/>
        <v>42.67938461538462</v>
      </c>
      <c r="L179" s="48">
        <f t="shared" si="39"/>
        <v>55.483199999999997</v>
      </c>
    </row>
    <row r="180" spans="2:12" ht="18.75" customHeight="1" x14ac:dyDescent="0.25">
      <c r="B180" s="42" t="s">
        <v>280</v>
      </c>
      <c r="C180" s="43">
        <v>1</v>
      </c>
      <c r="D180" s="85" t="s">
        <v>281</v>
      </c>
      <c r="E180" s="218" t="str">
        <f>VLOOKUP(D180,Sheet1!B:C, 2, FALSE)</f>
        <v>D09500002VXSSP0</v>
      </c>
      <c r="F180" s="68">
        <v>5.1223999999999998</v>
      </c>
      <c r="G180" s="46">
        <f>CEILING((Master!F224*1.06),0.5)</f>
        <v>107.5</v>
      </c>
      <c r="H180" s="46">
        <f t="shared" si="35"/>
        <v>39.774999999999999</v>
      </c>
      <c r="I180" s="47">
        <f t="shared" si="36"/>
        <v>0.87121558768070395</v>
      </c>
      <c r="J180" s="48">
        <f t="shared" si="37"/>
        <v>12.805999999999999</v>
      </c>
      <c r="K180" s="48">
        <f t="shared" si="38"/>
        <v>15.761230769230771</v>
      </c>
      <c r="L180" s="48">
        <f t="shared" si="39"/>
        <v>20.489599999999999</v>
      </c>
    </row>
    <row r="181" spans="2:12" ht="18.75" customHeight="1" x14ac:dyDescent="0.25">
      <c r="B181" s="42" t="s">
        <v>282</v>
      </c>
      <c r="C181" s="43">
        <v>1</v>
      </c>
      <c r="D181" s="85" t="s">
        <v>283</v>
      </c>
      <c r="E181" s="218" t="str">
        <f>VLOOKUP(D181,Sheet1!B:C, 2, FALSE)</f>
        <v>D09500006VXSPH9</v>
      </c>
      <c r="F181" s="68">
        <v>7.43</v>
      </c>
      <c r="G181" s="46">
        <f>CEILING((Master!F225*1.06),0.5)</f>
        <v>160</v>
      </c>
      <c r="H181" s="46">
        <f t="shared" si="35"/>
        <v>59.2</v>
      </c>
      <c r="I181" s="47">
        <f t="shared" si="36"/>
        <v>0.87449324324324329</v>
      </c>
      <c r="J181" s="48">
        <f t="shared" si="37"/>
        <v>18.574999999999999</v>
      </c>
      <c r="K181" s="48">
        <f t="shared" si="38"/>
        <v>22.861538461538462</v>
      </c>
      <c r="L181" s="48">
        <f t="shared" si="39"/>
        <v>29.72</v>
      </c>
    </row>
    <row r="182" spans="2:12" ht="18.75" customHeight="1" x14ac:dyDescent="0.25">
      <c r="B182" s="42" t="s">
        <v>284</v>
      </c>
      <c r="C182" s="43">
        <v>1</v>
      </c>
      <c r="D182" s="85" t="s">
        <v>285</v>
      </c>
      <c r="E182" s="218" t="str">
        <f>VLOOKUP(D182,Sheet1!B:C, 2, FALSE)</f>
        <v>D09500002VXSICV</v>
      </c>
      <c r="F182" s="68">
        <v>4.6900000000000004</v>
      </c>
      <c r="G182" s="46">
        <f>CEILING((Master!F226*1.06),0.5)</f>
        <v>88</v>
      </c>
      <c r="H182" s="46">
        <f t="shared" si="35"/>
        <v>32.56</v>
      </c>
      <c r="I182" s="47">
        <f t="shared" si="36"/>
        <v>0.85595823095823098</v>
      </c>
      <c r="J182" s="48">
        <f t="shared" si="37"/>
        <v>11.725</v>
      </c>
      <c r="K182" s="48">
        <f t="shared" si="38"/>
        <v>14.430769230769235</v>
      </c>
      <c r="L182" s="48">
        <f t="shared" si="39"/>
        <v>18.760000000000002</v>
      </c>
    </row>
    <row r="183" spans="2:12" ht="18.75" customHeight="1" x14ac:dyDescent="0.25">
      <c r="B183" s="42" t="s">
        <v>286</v>
      </c>
      <c r="C183" s="43">
        <v>1</v>
      </c>
      <c r="D183" s="85" t="s">
        <v>287</v>
      </c>
      <c r="E183" s="218" t="str">
        <f>VLOOKUP(D183,Sheet1!B:C, 2, FALSE)</f>
        <v>D095000002VXSBV</v>
      </c>
      <c r="F183" s="68">
        <v>17.98</v>
      </c>
      <c r="G183" s="46">
        <f>CEILING((Master!F227*1.06),0.5)</f>
        <v>420.5</v>
      </c>
      <c r="H183" s="46">
        <f t="shared" si="35"/>
        <v>155.58500000000001</v>
      </c>
      <c r="I183" s="47">
        <f t="shared" si="36"/>
        <v>0.88443616029822936</v>
      </c>
      <c r="J183" s="48">
        <f t="shared" si="37"/>
        <v>44.949999999999996</v>
      </c>
      <c r="K183" s="48">
        <f t="shared" si="38"/>
        <v>55.323076923076933</v>
      </c>
      <c r="L183" s="48">
        <f t="shared" si="39"/>
        <v>71.92</v>
      </c>
    </row>
    <row r="184" spans="2:12" ht="18.75" customHeight="1" x14ac:dyDescent="0.25">
      <c r="B184" s="42" t="s">
        <v>288</v>
      </c>
      <c r="C184" s="43">
        <v>0.1</v>
      </c>
      <c r="D184" s="85" t="s">
        <v>289</v>
      </c>
      <c r="E184" s="218" t="str">
        <f>VLOOKUP(D184,Sheet1!B:C, 2, FALSE)</f>
        <v>P0950000000CW00</v>
      </c>
      <c r="F184" s="68">
        <v>1.1100000000000001</v>
      </c>
      <c r="G184" s="46">
        <f>CEILING((Master!F228*1.06),0.5)</f>
        <v>20</v>
      </c>
      <c r="H184" s="46">
        <f t="shared" si="35"/>
        <v>7.4</v>
      </c>
      <c r="I184" s="47">
        <f t="shared" si="36"/>
        <v>0.85</v>
      </c>
      <c r="J184" s="48">
        <f t="shared" si="37"/>
        <v>2.7749999999999999</v>
      </c>
      <c r="K184" s="48">
        <f t="shared" si="38"/>
        <v>3.4153846153846161</v>
      </c>
      <c r="L184" s="48">
        <f t="shared" si="39"/>
        <v>4.4400000000000004</v>
      </c>
    </row>
    <row r="185" spans="2:12" ht="18.75" customHeight="1" x14ac:dyDescent="0.25">
      <c r="B185" s="42" t="s">
        <v>290</v>
      </c>
      <c r="C185" s="43">
        <v>0.1</v>
      </c>
      <c r="D185" s="85" t="s">
        <v>291</v>
      </c>
      <c r="E185" s="218" t="str">
        <f>VLOOKUP(D185,Sheet1!B:C, 2, FALSE)</f>
        <v>K09500000VXRCCW</v>
      </c>
      <c r="F185" s="68">
        <v>0.58499999999999996</v>
      </c>
      <c r="G185" s="46">
        <f>CEILING((Master!F229*1.06),0.5)</f>
        <v>10.5</v>
      </c>
      <c r="H185" s="46">
        <f t="shared" si="35"/>
        <v>3.8849999999999998</v>
      </c>
      <c r="I185" s="47">
        <f t="shared" si="36"/>
        <v>0.84942084942084939</v>
      </c>
      <c r="J185" s="48">
        <f t="shared" si="37"/>
        <v>1.4624999999999999</v>
      </c>
      <c r="K185" s="48">
        <f t="shared" si="38"/>
        <v>1.8</v>
      </c>
      <c r="L185" s="48">
        <f t="shared" si="39"/>
        <v>2.34</v>
      </c>
    </row>
    <row r="186" spans="2:12" ht="18.75" customHeight="1" x14ac:dyDescent="0.25">
      <c r="B186" s="42" t="s">
        <v>292</v>
      </c>
      <c r="C186" s="43">
        <v>5</v>
      </c>
      <c r="D186" s="85" t="s">
        <v>293</v>
      </c>
      <c r="E186" s="218" t="str">
        <f>VLOOKUP(D186,Sheet1!B:C, 2, FALSE)</f>
        <v>D0950000VXPMO0A</v>
      </c>
      <c r="F186" s="68">
        <v>402.99</v>
      </c>
      <c r="G186" s="46">
        <f>CEILING((Master!F230*1.06),0.5)</f>
        <v>5407.5</v>
      </c>
      <c r="H186" s="46">
        <f t="shared" si="35"/>
        <v>2000.7749999999999</v>
      </c>
      <c r="I186" s="47">
        <f t="shared" si="36"/>
        <v>0.79858304906848598</v>
      </c>
      <c r="J186" s="48">
        <f t="shared" si="37"/>
        <v>1007.475</v>
      </c>
      <c r="K186" s="48">
        <f t="shared" si="38"/>
        <v>1239.969230769231</v>
      </c>
      <c r="L186" s="48">
        <f t="shared" si="39"/>
        <v>1611.96</v>
      </c>
    </row>
    <row r="187" spans="2:12" ht="18.75" customHeight="1" x14ac:dyDescent="0.25">
      <c r="B187" s="42" t="s">
        <v>294</v>
      </c>
      <c r="C187" s="43">
        <v>1</v>
      </c>
      <c r="D187" s="85" t="s">
        <v>295</v>
      </c>
      <c r="E187" s="218" t="str">
        <f>VLOOKUP(D187,Sheet1!B:C, 2, FALSE)</f>
        <v>D09500002VXSWCS</v>
      </c>
      <c r="F187" s="68">
        <v>67.183499999999995</v>
      </c>
      <c r="G187" s="46">
        <f>CEILING((Master!F231*1.06),0.5)</f>
        <v>252.5</v>
      </c>
      <c r="H187" s="46">
        <f t="shared" si="35"/>
        <v>93.424999999999997</v>
      </c>
      <c r="I187" s="47">
        <f t="shared" si="36"/>
        <v>0.2808830612791009</v>
      </c>
      <c r="J187" s="48">
        <f t="shared" si="37"/>
        <v>167.95874999999998</v>
      </c>
      <c r="K187" s="48">
        <f t="shared" si="38"/>
        <v>206.71846153846155</v>
      </c>
      <c r="L187" s="48">
        <f t="shared" si="39"/>
        <v>268.73399999999998</v>
      </c>
    </row>
    <row r="188" spans="2:12" ht="18.75" customHeight="1" x14ac:dyDescent="0.25">
      <c r="B188" s="42" t="s">
        <v>296</v>
      </c>
      <c r="C188" s="43">
        <v>0.1</v>
      </c>
      <c r="D188" s="85" t="s">
        <v>297</v>
      </c>
      <c r="E188" s="218" t="str">
        <f>VLOOKUP(D188,Sheet1!B:C, 2, FALSE)</f>
        <v>D09500000VXSWCS</v>
      </c>
      <c r="F188" s="68">
        <v>4.75</v>
      </c>
      <c r="G188" s="46">
        <f>CEILING((Master!F232*1.06),0.5)</f>
        <v>25.5</v>
      </c>
      <c r="H188" s="46">
        <f t="shared" si="35"/>
        <v>9.4350000000000005</v>
      </c>
      <c r="I188" s="47">
        <f t="shared" si="36"/>
        <v>0.49655537890832013</v>
      </c>
      <c r="J188" s="48">
        <f t="shared" si="37"/>
        <v>11.875</v>
      </c>
      <c r="K188" s="48">
        <f t="shared" si="38"/>
        <v>14.615384615384617</v>
      </c>
      <c r="L188" s="48">
        <f t="shared" si="39"/>
        <v>19</v>
      </c>
    </row>
    <row r="189" spans="2:12" ht="19.7" customHeight="1" x14ac:dyDescent="0.25">
      <c r="B189" s="42" t="s">
        <v>298</v>
      </c>
      <c r="C189" s="43">
        <v>1</v>
      </c>
      <c r="D189" s="85" t="s">
        <v>299</v>
      </c>
      <c r="E189" s="218" t="str">
        <f>VLOOKUP(D189,Sheet1!B:C, 2, FALSE)</f>
        <v>D09500000VXSSAG</v>
      </c>
      <c r="F189" s="68">
        <v>76.211699999999993</v>
      </c>
      <c r="G189" s="46">
        <f>CEILING((Master!F233*1.06),0.5)</f>
        <v>732</v>
      </c>
      <c r="H189" s="46">
        <f t="shared" si="35"/>
        <v>270.83999999999997</v>
      </c>
      <c r="I189" s="47">
        <f t="shared" si="36"/>
        <v>0.71860988037217544</v>
      </c>
      <c r="J189" s="48">
        <f t="shared" si="37"/>
        <v>190.52924999999996</v>
      </c>
      <c r="K189" s="48">
        <f t="shared" si="38"/>
        <v>234.49753846153848</v>
      </c>
      <c r="L189" s="48">
        <f t="shared" si="39"/>
        <v>304.84679999999997</v>
      </c>
    </row>
    <row r="190" spans="2:12" ht="18.75" customHeight="1" x14ac:dyDescent="0.25">
      <c r="B190" s="42" t="s">
        <v>300</v>
      </c>
      <c r="C190" s="43">
        <v>1.5</v>
      </c>
      <c r="D190" s="85" t="s">
        <v>301</v>
      </c>
      <c r="E190" s="218" t="str">
        <f>VLOOKUP(D190,Sheet1!B:C, 2, FALSE)</f>
        <v>D09500000VXPIAG</v>
      </c>
      <c r="F190" s="68">
        <v>82.517499999999998</v>
      </c>
      <c r="G190" s="46">
        <f>CEILING((Master!F234*1.06),0.5)</f>
        <v>1566.5</v>
      </c>
      <c r="H190" s="46">
        <f t="shared" si="35"/>
        <v>579.60500000000002</v>
      </c>
      <c r="I190" s="47">
        <f t="shared" si="36"/>
        <v>0.85763149041157338</v>
      </c>
      <c r="J190" s="48">
        <f t="shared" si="37"/>
        <v>206.29374999999999</v>
      </c>
      <c r="K190" s="48">
        <f t="shared" si="38"/>
        <v>253.90000000000003</v>
      </c>
      <c r="L190" s="48">
        <f t="shared" si="39"/>
        <v>330.07</v>
      </c>
    </row>
    <row r="191" spans="2:12" ht="18.75" customHeight="1" x14ac:dyDescent="0.25">
      <c r="B191" s="42" t="s">
        <v>302</v>
      </c>
      <c r="C191" s="43">
        <v>0.1</v>
      </c>
      <c r="D191" s="85" t="s">
        <v>303</v>
      </c>
      <c r="E191" s="218" t="str">
        <f>VLOOKUP(D191,Sheet1!B:C, 2, FALSE)</f>
        <v>D09510000VXRF40</v>
      </c>
      <c r="F191" s="68">
        <v>0.26</v>
      </c>
      <c r="G191" s="46">
        <f>CEILING((Master!F235*1.06),0.5)</f>
        <v>6.5</v>
      </c>
      <c r="H191" s="46">
        <f t="shared" si="35"/>
        <v>2.4049999999999998</v>
      </c>
      <c r="I191" s="47">
        <f t="shared" si="36"/>
        <v>0.89189189189189177</v>
      </c>
      <c r="J191" s="48">
        <f t="shared" si="37"/>
        <v>0.65</v>
      </c>
      <c r="K191" s="48">
        <f t="shared" si="38"/>
        <v>0.80000000000000016</v>
      </c>
      <c r="L191" s="48">
        <f t="shared" si="39"/>
        <v>1.04</v>
      </c>
    </row>
    <row r="192" spans="2:12" ht="18.75" customHeight="1" x14ac:dyDescent="0.25">
      <c r="B192" s="42" t="s">
        <v>304</v>
      </c>
      <c r="C192" s="43">
        <v>5</v>
      </c>
      <c r="D192" s="49" t="s">
        <v>305</v>
      </c>
      <c r="E192" s="218" t="str">
        <f>VLOOKUP(D192,Sheet1!B:C, 2, FALSE)</f>
        <v>D09500000VXB122</v>
      </c>
      <c r="F192" s="119">
        <v>35.96</v>
      </c>
      <c r="G192" s="46">
        <f>CEILING((Master!F236*1.06),0.5)</f>
        <v>547.5</v>
      </c>
      <c r="H192" s="46">
        <f t="shared" si="35"/>
        <v>202.57499999999999</v>
      </c>
      <c r="I192" s="47">
        <f t="shared" si="36"/>
        <v>0.82248549919782787</v>
      </c>
      <c r="J192" s="48">
        <f t="shared" si="37"/>
        <v>89.899999999999991</v>
      </c>
      <c r="K192" s="48">
        <f t="shared" si="38"/>
        <v>110.64615384615387</v>
      </c>
      <c r="L192" s="48">
        <f t="shared" si="39"/>
        <v>143.84</v>
      </c>
    </row>
    <row r="193" spans="2:12" ht="19.7" customHeight="1" thickBot="1" x14ac:dyDescent="0.3">
      <c r="B193" s="42" t="s">
        <v>306</v>
      </c>
      <c r="C193" s="43">
        <v>0.1</v>
      </c>
      <c r="D193" s="49" t="s">
        <v>307</v>
      </c>
      <c r="E193" s="218" t="str">
        <f>VLOOKUP(D193,Sheet1!B:C, 2, FALSE)</f>
        <v>P09500000RPPPAL</v>
      </c>
      <c r="F193" s="92">
        <v>0.82399999999999995</v>
      </c>
      <c r="G193" s="46">
        <f>CEILING((Master!F237*1.06),0.5)</f>
        <v>6.5</v>
      </c>
      <c r="H193" s="46">
        <f t="shared" si="35"/>
        <v>2.4049999999999998</v>
      </c>
      <c r="I193" s="47">
        <f t="shared" si="36"/>
        <v>0.65738045738045747</v>
      </c>
      <c r="J193" s="48">
        <f t="shared" si="37"/>
        <v>2.0599999999999996</v>
      </c>
      <c r="K193" s="48">
        <f t="shared" si="38"/>
        <v>2.5353846153846158</v>
      </c>
      <c r="L193" s="48">
        <f t="shared" si="39"/>
        <v>3.2959999999999998</v>
      </c>
    </row>
    <row r="194" spans="2:12" ht="18.75" customHeight="1" thickBot="1" x14ac:dyDescent="0.3">
      <c r="B194" s="205"/>
      <c r="C194" s="205"/>
      <c r="D194" s="205"/>
      <c r="E194" s="231"/>
      <c r="F194" s="205"/>
      <c r="G194" s="205"/>
      <c r="H194" s="205"/>
      <c r="I194" s="77"/>
      <c r="J194" s="117"/>
      <c r="K194" s="117"/>
      <c r="L194" s="117"/>
    </row>
    <row r="195" spans="2:12" ht="18.75" customHeight="1" thickBot="1" x14ac:dyDescent="0.3">
      <c r="B195" s="214" t="s">
        <v>308</v>
      </c>
      <c r="C195" s="214"/>
      <c r="D195" s="214"/>
      <c r="E195" s="224"/>
      <c r="F195" s="214"/>
      <c r="G195" s="214"/>
      <c r="H195" s="214"/>
      <c r="I195" s="91"/>
      <c r="J195" s="91"/>
      <c r="K195" s="91"/>
      <c r="L195" s="91"/>
    </row>
    <row r="196" spans="2:12" ht="18.75" customHeight="1" x14ac:dyDescent="0.25">
      <c r="B196" s="42" t="s">
        <v>309</v>
      </c>
      <c r="C196" s="43">
        <v>20</v>
      </c>
      <c r="D196" s="52" t="s">
        <v>310</v>
      </c>
      <c r="E196" s="218" t="str">
        <f>VLOOKUP(D196,Sheet1!B:C, 2, FALSE)</f>
        <v>D09500000VX0BDC</v>
      </c>
      <c r="F196" s="68">
        <v>405.04</v>
      </c>
      <c r="G196" s="46">
        <f>CEILING((Master!F240*1.06),0.5)</f>
        <v>5432</v>
      </c>
      <c r="H196" s="46">
        <f>G196*$H$5</f>
        <v>2009.84</v>
      </c>
      <c r="I196" s="47">
        <f>((H196-F196)/H196)</f>
        <v>0.79847152012100464</v>
      </c>
      <c r="J196" s="48">
        <f>(($F196/(1-J$9)))</f>
        <v>1012.6</v>
      </c>
      <c r="K196" s="48">
        <f>(($F196/(1-$K$9)))</f>
        <v>1246.2769230769234</v>
      </c>
      <c r="L196" s="48">
        <f>(($F196/(1-L$9)))</f>
        <v>1620.16</v>
      </c>
    </row>
    <row r="197" spans="2:12" ht="18.75" customHeight="1" thickBot="1" x14ac:dyDescent="0.3">
      <c r="B197" s="42" t="s">
        <v>311</v>
      </c>
      <c r="C197" s="43">
        <v>50</v>
      </c>
      <c r="D197" s="96" t="s">
        <v>312</v>
      </c>
      <c r="E197" s="218" t="str">
        <f>VLOOKUP(D197,Sheet1!B:C, 2, FALSE)</f>
        <v>D09500220VX0BDC</v>
      </c>
      <c r="F197" s="92">
        <v>303.65679999999998</v>
      </c>
      <c r="G197" s="46">
        <f>CEILING((Master!F241*1.06),0.5)</f>
        <v>5432</v>
      </c>
      <c r="H197" s="46">
        <f>G197*$H$5</f>
        <v>2009.84</v>
      </c>
      <c r="I197" s="47">
        <f>((H197-F197)/H197)</f>
        <v>0.84891493850256738</v>
      </c>
      <c r="J197" s="48">
        <f>(($F197/(1-J$9)))</f>
        <v>759.14199999999994</v>
      </c>
      <c r="K197" s="48">
        <f>(($F197/(1-$K$9)))</f>
        <v>934.32861538461543</v>
      </c>
      <c r="L197" s="48">
        <f>(($F197/(1-L$9)))</f>
        <v>1214.6271999999999</v>
      </c>
    </row>
    <row r="198" spans="2:12" ht="18.75" customHeight="1" thickBot="1" x14ac:dyDescent="0.3">
      <c r="B198" s="205"/>
      <c r="C198" s="205"/>
      <c r="D198" s="205"/>
      <c r="E198" s="231"/>
      <c r="F198" s="205"/>
      <c r="G198" s="205"/>
      <c r="H198" s="205"/>
      <c r="I198" s="77"/>
      <c r="J198" s="117"/>
      <c r="K198" s="117"/>
      <c r="L198" s="117"/>
    </row>
    <row r="199" spans="2:12" ht="18.75" customHeight="1" thickBot="1" x14ac:dyDescent="0.3">
      <c r="B199" s="214" t="s">
        <v>313</v>
      </c>
      <c r="C199" s="214"/>
      <c r="D199" s="214"/>
      <c r="E199" s="224"/>
      <c r="F199" s="214"/>
      <c r="G199" s="214"/>
      <c r="H199" s="214"/>
      <c r="I199" s="91"/>
      <c r="J199" s="91"/>
      <c r="K199" s="91"/>
      <c r="L199" s="91"/>
    </row>
    <row r="200" spans="2:12" ht="18.75" customHeight="1" x14ac:dyDescent="0.25">
      <c r="B200" s="124" t="s">
        <v>314</v>
      </c>
      <c r="C200" s="125" t="s">
        <v>315</v>
      </c>
      <c r="D200" s="126" t="s">
        <v>316</v>
      </c>
      <c r="E200" s="218" t="e">
        <f>VLOOKUP(D200,Sheet1!B:C, 2, FALSE)</f>
        <v>#N/A</v>
      </c>
      <c r="F200" s="127"/>
      <c r="G200" s="128">
        <v>3000</v>
      </c>
      <c r="H200" s="46">
        <f>G200</f>
        <v>3000</v>
      </c>
      <c r="I200" s="47">
        <f>((H200-F200)/H200)</f>
        <v>1</v>
      </c>
      <c r="J200" s="48">
        <f>(($F200/(1-J$9)))</f>
        <v>0</v>
      </c>
      <c r="K200" s="48">
        <f>(($F200/(1-$K$9)))</f>
        <v>0</v>
      </c>
      <c r="L200" s="48">
        <f>(($F200/(1-L$9)))</f>
        <v>0</v>
      </c>
    </row>
    <row r="201" spans="2:12" ht="18.75" customHeight="1" thickBot="1" x14ac:dyDescent="0.3">
      <c r="B201" s="129" t="s">
        <v>317</v>
      </c>
      <c r="C201" s="130" t="s">
        <v>315</v>
      </c>
      <c r="D201" s="131" t="s">
        <v>316</v>
      </c>
      <c r="E201" s="218" t="e">
        <f>VLOOKUP(D201,Sheet1!B:C, 2, FALSE)</f>
        <v>#N/A</v>
      </c>
      <c r="F201" s="132"/>
      <c r="G201" s="133">
        <v>1500</v>
      </c>
      <c r="H201" s="46">
        <f>G201</f>
        <v>1500</v>
      </c>
      <c r="I201" s="47">
        <f>((H201-F201)/H201)</f>
        <v>1</v>
      </c>
      <c r="J201" s="48">
        <f>(($F201/(1-J$9)))</f>
        <v>0</v>
      </c>
      <c r="K201" s="48">
        <f>(($F201/(1-$K$9)))</f>
        <v>0</v>
      </c>
      <c r="L201" s="48">
        <f>(($F201/(1-L$9)))</f>
        <v>0</v>
      </c>
    </row>
    <row r="202" spans="2:12" ht="18.75" customHeight="1" x14ac:dyDescent="0.25"/>
    <row r="203" spans="2:12" ht="18.75" customHeight="1" x14ac:dyDescent="0.25"/>
    <row r="204" spans="2:12" ht="18.75" customHeight="1" thickBot="1" x14ac:dyDescent="0.3"/>
    <row r="205" spans="2:12" ht="18.75" customHeight="1" x14ac:dyDescent="0.25">
      <c r="B205" s="217" t="s">
        <v>319</v>
      </c>
      <c r="C205" s="217"/>
      <c r="D205" s="217"/>
      <c r="E205" s="217"/>
      <c r="F205" s="217"/>
    </row>
    <row r="206" spans="2:12" ht="18.75" customHeight="1" x14ac:dyDescent="0.25">
      <c r="B206" s="135" t="s">
        <v>320</v>
      </c>
      <c r="C206" s="136"/>
      <c r="D206" s="137" t="s">
        <v>321</v>
      </c>
      <c r="E206" s="242" t="s">
        <v>1313</v>
      </c>
      <c r="F206" s="138">
        <v>5334.9320399999997</v>
      </c>
    </row>
    <row r="207" spans="2:12" ht="18.75" customHeight="1" x14ac:dyDescent="0.25">
      <c r="B207" s="135" t="s">
        <v>322</v>
      </c>
      <c r="C207" s="136"/>
      <c r="D207" s="137" t="s">
        <v>323</v>
      </c>
      <c r="E207" s="241" t="s">
        <v>1313</v>
      </c>
      <c r="F207" s="138">
        <v>5333.2400399999997</v>
      </c>
    </row>
    <row r="208" spans="2:12" ht="18.75" customHeight="1" x14ac:dyDescent="0.25">
      <c r="B208" s="135" t="s">
        <v>324</v>
      </c>
      <c r="C208" s="136"/>
      <c r="D208" s="137" t="s">
        <v>325</v>
      </c>
      <c r="E208" s="242" t="s">
        <v>1938</v>
      </c>
      <c r="F208" s="138">
        <v>5339.8853399999998</v>
      </c>
    </row>
    <row r="209" spans="2:6" ht="18.75" customHeight="1" x14ac:dyDescent="0.25">
      <c r="B209" s="135" t="s">
        <v>326</v>
      </c>
      <c r="C209" s="136"/>
      <c r="D209" s="137" t="s">
        <v>327</v>
      </c>
      <c r="E209" s="242" t="s">
        <v>1939</v>
      </c>
      <c r="F209" s="138">
        <v>5338.1933399999998</v>
      </c>
    </row>
    <row r="210" spans="2:6" ht="18.75" customHeight="1" thickBot="1" x14ac:dyDescent="0.3">
      <c r="B210" s="135" t="s">
        <v>328</v>
      </c>
      <c r="C210" s="136"/>
      <c r="D210" s="137" t="s">
        <v>329</v>
      </c>
      <c r="E210" s="243" t="s">
        <v>1940</v>
      </c>
      <c r="F210" s="138">
        <v>5558.3598300000003</v>
      </c>
    </row>
    <row r="211" spans="2:6" ht="18.75" customHeight="1" thickBot="1" x14ac:dyDescent="0.3">
      <c r="B211" s="135" t="s">
        <v>330</v>
      </c>
      <c r="C211" s="136"/>
      <c r="D211" s="137" t="s">
        <v>331</v>
      </c>
      <c r="E211" s="243" t="s">
        <v>1941</v>
      </c>
      <c r="F211" s="138">
        <v>5556.6678300000003</v>
      </c>
    </row>
    <row r="212" spans="2:6" ht="18.75" customHeight="1" x14ac:dyDescent="0.25">
      <c r="B212" s="135" t="s">
        <v>332</v>
      </c>
      <c r="C212" s="136"/>
      <c r="D212" s="137" t="s">
        <v>333</v>
      </c>
      <c r="E212" s="242" t="s">
        <v>1942</v>
      </c>
      <c r="F212" s="138">
        <v>5554.9758300000003</v>
      </c>
    </row>
    <row r="213" spans="2:6" ht="18.75" customHeight="1" x14ac:dyDescent="0.25">
      <c r="B213" s="135" t="s">
        <v>334</v>
      </c>
      <c r="C213" s="136"/>
      <c r="D213" s="137" t="s">
        <v>335</v>
      </c>
      <c r="E213" s="242" t="s">
        <v>1943</v>
      </c>
      <c r="F213" s="138">
        <v>5553.2835999999998</v>
      </c>
    </row>
    <row r="214" spans="2:6" ht="18.75" customHeight="1" x14ac:dyDescent="0.25"/>
    <row r="215" spans="2:6" ht="18.75" customHeight="1" x14ac:dyDescent="0.25"/>
  </sheetData>
  <conditionalFormatting sqref="B32 B50 B68:B69 B77:B78 B59 B65 B74 B159:D213 E202:E205 B51:D58 E207">
    <cfRule type="expression" dxfId="256" priority="131">
      <formula>$B32="not found"</formula>
    </cfRule>
  </conditionalFormatting>
  <conditionalFormatting sqref="B59 B65">
    <cfRule type="containsText" dxfId="255" priority="127" operator="containsText" text="not found">
      <formula>NOT(ISERROR(SEARCH("not found",B59)))</formula>
    </cfRule>
  </conditionalFormatting>
  <conditionalFormatting sqref="B74">
    <cfRule type="containsText" dxfId="254" priority="126" operator="containsText" text="not found">
      <formula>NOT(ISERROR(SEARCH("not found",B74)))</formula>
    </cfRule>
  </conditionalFormatting>
  <conditionalFormatting sqref="B80 B82 B132 B79:E79 B133:D134">
    <cfRule type="expression" dxfId="253" priority="128">
      <formula>$B79="not found"</formula>
    </cfRule>
  </conditionalFormatting>
  <conditionalFormatting sqref="B80 B82 B132">
    <cfRule type="containsText" dxfId="252" priority="125" operator="containsText" text="not found">
      <formula>NOT(ISERROR(SEARCH("not found",B80)))</formula>
    </cfRule>
  </conditionalFormatting>
  <conditionalFormatting sqref="B140">
    <cfRule type="expression" dxfId="251" priority="122">
      <formula>$B140="not found"</formula>
    </cfRule>
    <cfRule type="containsText" dxfId="250" priority="121" operator="containsText" text="not found">
      <formula>NOT(ISERROR(SEARCH("not found",B140)))</formula>
    </cfRule>
  </conditionalFormatting>
  <conditionalFormatting sqref="B9:D27 B28:B29 B30:D31 B33:D49 B135 B60:D64 B66:D67 B70:D73 B75:D76 B81:E81 B141:D157 B158">
    <cfRule type="expression" dxfId="249" priority="130">
      <formula>$B9="not found"</formula>
    </cfRule>
  </conditionalFormatting>
  <conditionalFormatting sqref="B51:D58">
    <cfRule type="containsText" dxfId="248" priority="110" operator="containsText" text="not found">
      <formula>NOT(ISERROR(SEARCH("not found",B51)))</formula>
    </cfRule>
  </conditionalFormatting>
  <conditionalFormatting sqref="B60:D64">
    <cfRule type="containsText" dxfId="247" priority="119" operator="containsText" text="not found">
      <formula>NOT(ISERROR(SEARCH("not found",B60)))</formula>
    </cfRule>
  </conditionalFormatting>
  <conditionalFormatting sqref="B66:D68">
    <cfRule type="containsText" dxfId="246" priority="118" operator="containsText" text="not found">
      <formula>NOT(ISERROR(SEARCH("not found",B66)))</formula>
    </cfRule>
  </conditionalFormatting>
  <conditionalFormatting sqref="B70:D73">
    <cfRule type="containsText" dxfId="245" priority="117" operator="containsText" text="not found">
      <formula>NOT(ISERROR(SEARCH("not found",B70)))</formula>
    </cfRule>
  </conditionalFormatting>
  <conditionalFormatting sqref="B75:D77">
    <cfRule type="containsText" dxfId="244" priority="116" operator="containsText" text="not found">
      <formula>NOT(ISERROR(SEARCH("not found",B75)))</formula>
    </cfRule>
  </conditionalFormatting>
  <conditionalFormatting sqref="B81:D81">
    <cfRule type="containsText" dxfId="243" priority="115" operator="containsText" text="not found">
      <formula>NOT(ISERROR(SEARCH("not found",B81)))</formula>
    </cfRule>
  </conditionalFormatting>
  <conditionalFormatting sqref="B83:D131">
    <cfRule type="containsText" dxfId="242" priority="113" operator="containsText" text="not found">
      <formula>NOT(ISERROR(SEARCH("not found",B83)))</formula>
    </cfRule>
  </conditionalFormatting>
  <conditionalFormatting sqref="B136:D139">
    <cfRule type="expression" dxfId="241" priority="123">
      <formula>$B136="not found"</formula>
    </cfRule>
  </conditionalFormatting>
  <conditionalFormatting sqref="B141:D201">
    <cfRule type="containsText" dxfId="240" priority="111" operator="containsText" text="not found">
      <formula>NOT(ISERROR(SEARCH("not found",B141)))</formula>
    </cfRule>
  </conditionalFormatting>
  <conditionalFormatting sqref="B1:E8 E9:E31 E33:E49 E99">
    <cfRule type="expression" dxfId="239" priority="301">
      <formula>$B1="not found"</formula>
    </cfRule>
  </conditionalFormatting>
  <conditionalFormatting sqref="B79:E79 B133:D134 B9:D31 B139:D139 B32 B33:D49 B50 B69 B78 B135">
    <cfRule type="containsText" dxfId="238" priority="129" operator="containsText" text="not found">
      <formula>NOT(ISERROR(SEARCH("not found",B9)))</formula>
    </cfRule>
  </conditionalFormatting>
  <conditionalFormatting sqref="B136:E138">
    <cfRule type="containsText" dxfId="237" priority="65" operator="containsText" text="not found">
      <formula>NOT(ISERROR(SEARCH("not found",B136)))</formula>
    </cfRule>
  </conditionalFormatting>
  <conditionalFormatting sqref="C28:D28">
    <cfRule type="expression" dxfId="236" priority="133">
      <formula>#REF!="not found"</formula>
    </cfRule>
  </conditionalFormatting>
  <conditionalFormatting sqref="C29:D29">
    <cfRule type="expression" dxfId="235" priority="132">
      <formula>$B28="not found"</formula>
    </cfRule>
  </conditionalFormatting>
  <conditionalFormatting sqref="D28:E29">
    <cfRule type="expression" dxfId="234" priority="124">
      <formula>$B28="not found"</formula>
    </cfRule>
  </conditionalFormatting>
  <conditionalFormatting sqref="E28">
    <cfRule type="expression" dxfId="233" priority="304">
      <formula>#REF!="not found"</formula>
    </cfRule>
  </conditionalFormatting>
  <conditionalFormatting sqref="E29 E95 E101:E102">
    <cfRule type="expression" dxfId="232" priority="303">
      <formula>$B28="not found"</formula>
    </cfRule>
  </conditionalFormatting>
  <conditionalFormatting sqref="E31">
    <cfRule type="expression" dxfId="231" priority="283">
      <formula>$B31="not found"</formula>
    </cfRule>
    <cfRule type="expression" dxfId="230" priority="284">
      <formula>$B30="not found"</formula>
    </cfRule>
  </conditionalFormatting>
  <conditionalFormatting sqref="E34:E49">
    <cfRule type="expression" dxfId="229" priority="282">
      <formula>$B33="not found"</formula>
    </cfRule>
    <cfRule type="expression" dxfId="228" priority="281">
      <formula>$B34="not found"</formula>
    </cfRule>
  </conditionalFormatting>
  <conditionalFormatting sqref="E51:E58">
    <cfRule type="expression" dxfId="227" priority="280">
      <formula>$B51="not found"</formula>
    </cfRule>
    <cfRule type="containsText" dxfId="226" priority="279" operator="containsText" text="not found">
      <formula>NOT(ISERROR(SEARCH("not found",E51)))</formula>
    </cfRule>
  </conditionalFormatting>
  <conditionalFormatting sqref="E52:E58">
    <cfRule type="expression" dxfId="225" priority="278">
      <formula>$B51="not found"</formula>
    </cfRule>
    <cfRule type="expression" dxfId="224" priority="277">
      <formula>$B52="not found"</formula>
    </cfRule>
  </conditionalFormatting>
  <conditionalFormatting sqref="E60:E63">
    <cfRule type="expression" dxfId="223" priority="276">
      <formula>$B60="not found"</formula>
    </cfRule>
    <cfRule type="containsText" dxfId="222" priority="275" operator="containsText" text="not found">
      <formula>NOT(ISERROR(SEARCH("not found",E60)))</formula>
    </cfRule>
  </conditionalFormatting>
  <conditionalFormatting sqref="E63:E64">
    <cfRule type="expression" dxfId="221" priority="270">
      <formula>$B62="not found"</formula>
    </cfRule>
    <cfRule type="expression" dxfId="220" priority="272">
      <formula>$B63="not found"</formula>
    </cfRule>
  </conditionalFormatting>
  <conditionalFormatting sqref="E64">
    <cfRule type="expression" dxfId="219" priority="269">
      <formula>$B64="not found"</formula>
    </cfRule>
    <cfRule type="containsText" dxfId="218" priority="271" operator="containsText" text="not found">
      <formula>NOT(ISERROR(SEARCH("not found",E64)))</formula>
    </cfRule>
  </conditionalFormatting>
  <conditionalFormatting sqref="E66">
    <cfRule type="containsText" dxfId="217" priority="267" operator="containsText" text="not found">
      <formula>NOT(ISERROR(SEARCH("not found",E66)))</formula>
    </cfRule>
    <cfRule type="expression" dxfId="216" priority="268">
      <formula>$B66="not found"</formula>
    </cfRule>
  </conditionalFormatting>
  <conditionalFormatting sqref="E66:E67">
    <cfRule type="expression" dxfId="215" priority="264">
      <formula>$B66="not found"</formula>
    </cfRule>
    <cfRule type="expression" dxfId="214" priority="262">
      <formula>$B65="not found"</formula>
    </cfRule>
  </conditionalFormatting>
  <conditionalFormatting sqref="E67">
    <cfRule type="expression" dxfId="213" priority="261">
      <formula>$B67="not found"</formula>
    </cfRule>
  </conditionalFormatting>
  <conditionalFormatting sqref="E67:E68">
    <cfRule type="containsText" dxfId="212" priority="263" operator="containsText" text="not found">
      <formula>NOT(ISERROR(SEARCH("not found",E67)))</formula>
    </cfRule>
  </conditionalFormatting>
  <conditionalFormatting sqref="E70:E72">
    <cfRule type="containsText" dxfId="211" priority="259" operator="containsText" text="not found">
      <formula>NOT(ISERROR(SEARCH("not found",E70)))</formula>
    </cfRule>
    <cfRule type="expression" dxfId="210" priority="260">
      <formula>$B70="not found"</formula>
    </cfRule>
  </conditionalFormatting>
  <conditionalFormatting sqref="E72:E73">
    <cfRule type="expression" dxfId="209" priority="254">
      <formula>$B71="not found"</formula>
    </cfRule>
    <cfRule type="expression" dxfId="208" priority="256">
      <formula>$B72="not found"</formula>
    </cfRule>
  </conditionalFormatting>
  <conditionalFormatting sqref="E73">
    <cfRule type="expression" dxfId="207" priority="253">
      <formula>$B73="not found"</formula>
    </cfRule>
    <cfRule type="containsText" dxfId="206" priority="255" operator="containsText" text="not found">
      <formula>NOT(ISERROR(SEARCH("not found",E73)))</formula>
    </cfRule>
  </conditionalFormatting>
  <conditionalFormatting sqref="E75">
    <cfRule type="containsText" dxfId="205" priority="251" operator="containsText" text="not found">
      <formula>NOT(ISERROR(SEARCH("not found",E75)))</formula>
    </cfRule>
    <cfRule type="expression" dxfId="204" priority="252">
      <formula>$B75="not found"</formula>
    </cfRule>
  </conditionalFormatting>
  <conditionalFormatting sqref="E75:E76">
    <cfRule type="expression" dxfId="203" priority="248">
      <formula>$B75="not found"</formula>
    </cfRule>
    <cfRule type="expression" dxfId="202" priority="246">
      <formula>$B74="not found"</formula>
    </cfRule>
  </conditionalFormatting>
  <conditionalFormatting sqref="E76">
    <cfRule type="expression" dxfId="201" priority="245">
      <formula>$B76="not found"</formula>
    </cfRule>
  </conditionalFormatting>
  <conditionalFormatting sqref="E76:E77">
    <cfRule type="containsText" dxfId="200" priority="247" operator="containsText" text="not found">
      <formula>NOT(ISERROR(SEARCH("not found",E76)))</formula>
    </cfRule>
  </conditionalFormatting>
  <conditionalFormatting sqref="E81">
    <cfRule type="containsText" dxfId="199" priority="243" operator="containsText" text="not found">
      <formula>NOT(ISERROR(SEARCH("not found",E81)))</formula>
    </cfRule>
    <cfRule type="expression" dxfId="198" priority="244">
      <formula>$B81="not found"</formula>
    </cfRule>
    <cfRule type="expression" dxfId="197" priority="242">
      <formula>$B80="not found"</formula>
    </cfRule>
  </conditionalFormatting>
  <conditionalFormatting sqref="E83">
    <cfRule type="expression" dxfId="196" priority="238">
      <formula>$B82="not found"</formula>
    </cfRule>
    <cfRule type="expression" dxfId="195" priority="237">
      <formula>$B83="not found"</formula>
    </cfRule>
  </conditionalFormatting>
  <conditionalFormatting sqref="E83:E84">
    <cfRule type="containsText" dxfId="194" priority="239" operator="containsText" text="not found">
      <formula>NOT(ISERROR(SEARCH("not found",E83)))</formula>
    </cfRule>
    <cfRule type="expression" dxfId="193" priority="240">
      <formula>$B83="not found"</formula>
    </cfRule>
  </conditionalFormatting>
  <conditionalFormatting sqref="E85">
    <cfRule type="expression" dxfId="192" priority="236">
      <formula>$B85="not found"</formula>
    </cfRule>
    <cfRule type="containsText" dxfId="191" priority="235" operator="containsText" text="not found">
      <formula>NOT(ISERROR(SEARCH("not found",E85)))</formula>
    </cfRule>
  </conditionalFormatting>
  <conditionalFormatting sqref="E85:E86">
    <cfRule type="expression" dxfId="190" priority="230">
      <formula>$B84="not found"</formula>
    </cfRule>
  </conditionalFormatting>
  <conditionalFormatting sqref="E85:E88">
    <cfRule type="expression" dxfId="189" priority="232">
      <formula>$B85="not found"</formula>
    </cfRule>
  </conditionalFormatting>
  <conditionalFormatting sqref="E86">
    <cfRule type="expression" dxfId="188" priority="229">
      <formula>$B86="not found"</formula>
    </cfRule>
  </conditionalFormatting>
  <conditionalFormatting sqref="E86:E88">
    <cfRule type="containsText" dxfId="187" priority="231" operator="containsText" text="not found">
      <formula>NOT(ISERROR(SEARCH("not found",E86)))</formula>
    </cfRule>
  </conditionalFormatting>
  <conditionalFormatting sqref="E89:E93">
    <cfRule type="expression" dxfId="186" priority="1">
      <formula>$B88="not found"</formula>
    </cfRule>
    <cfRule type="expression" dxfId="185" priority="2">
      <formula>$B87="not found"</formula>
    </cfRule>
    <cfRule type="containsText" dxfId="184" priority="3" operator="containsText" text="not found">
      <formula>NOT(ISERROR(SEARCH("not found",E89)))</formula>
    </cfRule>
    <cfRule type="expression" dxfId="183" priority="4">
      <formula>$B88="not found"</formula>
    </cfRule>
    <cfRule type="containsText" dxfId="182" priority="5" operator="containsText" text="not found">
      <formula>NOT(ISERROR(SEARCH("not found",E89)))</formula>
    </cfRule>
    <cfRule type="expression" dxfId="181" priority="6">
      <formula>$B89="not found"</formula>
    </cfRule>
  </conditionalFormatting>
  <conditionalFormatting sqref="E97:E98">
    <cfRule type="expression" dxfId="180" priority="220">
      <formula>$B96="not found"</formula>
    </cfRule>
    <cfRule type="expression" dxfId="179" priority="217">
      <formula>$B96="not found"</formula>
    </cfRule>
    <cfRule type="expression" dxfId="178" priority="218">
      <formula>$B95="not found"</formula>
    </cfRule>
  </conditionalFormatting>
  <conditionalFormatting sqref="E97:E99">
    <cfRule type="containsText" dxfId="177" priority="219" operator="containsText" text="not found">
      <formula>NOT(ISERROR(SEARCH("not found",E97)))</formula>
    </cfRule>
  </conditionalFormatting>
  <conditionalFormatting sqref="E101:E102 B83:D131 B214:E1048576">
    <cfRule type="expression" dxfId="176" priority="302">
      <formula>$B83="not found"</formula>
    </cfRule>
  </conditionalFormatting>
  <conditionalFormatting sqref="E101:E102">
    <cfRule type="expression" dxfId="175" priority="214">
      <formula>$B99="not found"</formula>
    </cfRule>
    <cfRule type="containsText" dxfId="174" priority="215" operator="containsText" text="not found">
      <formula>NOT(ISERROR(SEARCH("not found",E101)))</formula>
    </cfRule>
  </conditionalFormatting>
  <conditionalFormatting sqref="E105:E114">
    <cfRule type="containsText" dxfId="173" priority="93" operator="containsText" text="not found">
      <formula>NOT(ISERROR(SEARCH("not found",E105)))</formula>
    </cfRule>
    <cfRule type="expression" dxfId="172" priority="94">
      <formula>$B104="not found"</formula>
    </cfRule>
    <cfRule type="expression" dxfId="171" priority="92">
      <formula>$B103="not found"</formula>
    </cfRule>
    <cfRule type="expression" dxfId="170" priority="91">
      <formula>$B104="not found"</formula>
    </cfRule>
    <cfRule type="expression" dxfId="169" priority="96">
      <formula>$B105="not found"</formula>
    </cfRule>
    <cfRule type="containsText" dxfId="168" priority="95" operator="containsText" text="not found">
      <formula>NOT(ISERROR(SEARCH("not found",E105)))</formula>
    </cfRule>
  </conditionalFormatting>
  <conditionalFormatting sqref="E115:E116 E120:E121 E125:E126 E129:E130 E133:E134 E139 E9:E31 E33:E49 B7:E8 G7:L26 G27:I31 J27:L93 I60:I68 E95 G95:L95 G105:I131 J105:L201">
    <cfRule type="containsText" dxfId="167" priority="300" operator="containsText" text="not found">
      <formula>NOT(ISERROR(SEARCH("not found",B7)))</formula>
    </cfRule>
  </conditionalFormatting>
  <conditionalFormatting sqref="E117:E119">
    <cfRule type="expression" dxfId="166" priority="88">
      <formula>$B116="not found"</formula>
    </cfRule>
    <cfRule type="containsText" dxfId="165" priority="89" operator="containsText" text="not found">
      <formula>NOT(ISERROR(SEARCH("not found",E117)))</formula>
    </cfRule>
    <cfRule type="expression" dxfId="164" priority="90">
      <formula>$B117="not found"</formula>
    </cfRule>
    <cfRule type="expression" dxfId="163" priority="85">
      <formula>$B116="not found"</formula>
    </cfRule>
    <cfRule type="expression" dxfId="162" priority="86">
      <formula>$B115="not found"</formula>
    </cfRule>
    <cfRule type="containsText" dxfId="161" priority="87" operator="containsText" text="not found">
      <formula>NOT(ISERROR(SEARCH("not found",E117)))</formula>
    </cfRule>
  </conditionalFormatting>
  <conditionalFormatting sqref="E122:E124">
    <cfRule type="containsText" dxfId="160" priority="81" operator="containsText" text="not found">
      <formula>NOT(ISERROR(SEARCH("not found",E122)))</formula>
    </cfRule>
    <cfRule type="containsText" dxfId="159" priority="83" operator="containsText" text="not found">
      <formula>NOT(ISERROR(SEARCH("not found",E122)))</formula>
    </cfRule>
    <cfRule type="expression" dxfId="158" priority="82">
      <formula>$B121="not found"</formula>
    </cfRule>
    <cfRule type="expression" dxfId="157" priority="80">
      <formula>$B120="not found"</formula>
    </cfRule>
    <cfRule type="expression" dxfId="156" priority="79">
      <formula>$B121="not found"</formula>
    </cfRule>
    <cfRule type="expression" dxfId="155" priority="84">
      <formula>$B122="not found"</formula>
    </cfRule>
  </conditionalFormatting>
  <conditionalFormatting sqref="E127:E128">
    <cfRule type="expression" dxfId="154" priority="78">
      <formula>$B127="not found"</formula>
    </cfRule>
    <cfRule type="expression" dxfId="153" priority="76">
      <formula>$B126="not found"</formula>
    </cfRule>
    <cfRule type="expression" dxfId="152" priority="73">
      <formula>$B126="not found"</formula>
    </cfRule>
    <cfRule type="expression" dxfId="151" priority="74">
      <formula>$B125="not found"</formula>
    </cfRule>
    <cfRule type="containsText" dxfId="150" priority="75" operator="containsText" text="not found">
      <formula>NOT(ISERROR(SEARCH("not found",E127)))</formula>
    </cfRule>
    <cfRule type="containsText" dxfId="149" priority="77" operator="containsText" text="not found">
      <formula>NOT(ISERROR(SEARCH("not found",E127)))</formula>
    </cfRule>
  </conditionalFormatting>
  <conditionalFormatting sqref="E131">
    <cfRule type="expression" dxfId="148" priority="68">
      <formula>$B129="not found"</formula>
    </cfRule>
    <cfRule type="containsText" dxfId="147" priority="69" operator="containsText" text="not found">
      <formula>NOT(ISERROR(SEARCH("not found",E131)))</formula>
    </cfRule>
    <cfRule type="containsText" dxfId="146" priority="71" operator="containsText" text="not found">
      <formula>NOT(ISERROR(SEARCH("not found",E131)))</formula>
    </cfRule>
    <cfRule type="expression" dxfId="145" priority="67">
      <formula>$B130="not found"</formula>
    </cfRule>
    <cfRule type="expression" dxfId="144" priority="72">
      <formula>$B131="not found"</formula>
    </cfRule>
    <cfRule type="expression" dxfId="143" priority="70">
      <formula>$B130="not found"</formula>
    </cfRule>
  </conditionalFormatting>
  <conditionalFormatting sqref="E136:E138">
    <cfRule type="expression" dxfId="142" priority="64">
      <formula>$B135="not found"</formula>
    </cfRule>
    <cfRule type="containsText" dxfId="141" priority="63" operator="containsText" text="not found">
      <formula>NOT(ISERROR(SEARCH("not found",E136)))</formula>
    </cfRule>
    <cfRule type="expression" dxfId="140" priority="62">
      <formula>$B134="not found"</formula>
    </cfRule>
    <cfRule type="expression" dxfId="139" priority="61">
      <formula>$B135="not found"</formula>
    </cfRule>
    <cfRule type="expression" dxfId="138" priority="66">
      <formula>$B136="not found"</formula>
    </cfRule>
  </conditionalFormatting>
  <conditionalFormatting sqref="E141:E143">
    <cfRule type="expression" dxfId="137" priority="60">
      <formula>$B141="not found"</formula>
    </cfRule>
    <cfRule type="expression" dxfId="136" priority="58">
      <formula>$B140="not found"</formula>
    </cfRule>
    <cfRule type="containsText" dxfId="135" priority="57" operator="containsText" text="not found">
      <formula>NOT(ISERROR(SEARCH("not found",E141)))</formula>
    </cfRule>
    <cfRule type="expression" dxfId="134" priority="56">
      <formula>$B139="not found"</formula>
    </cfRule>
    <cfRule type="expression" dxfId="133" priority="55">
      <formula>$B140="not found"</formula>
    </cfRule>
  </conditionalFormatting>
  <conditionalFormatting sqref="E141:E145">
    <cfRule type="containsText" dxfId="132" priority="59" operator="containsText" text="not found">
      <formula>NOT(ISERROR(SEARCH("not found",E141)))</formula>
    </cfRule>
  </conditionalFormatting>
  <conditionalFormatting sqref="E144:E145 E161:E162 E171:E172 E194:E195 E198:E199 E115:E116 E120:E121 E125:E126 E129:E130 E133:E134 E139">
    <cfRule type="expression" dxfId="131" priority="294">
      <formula>$B109="not found"</formula>
    </cfRule>
  </conditionalFormatting>
  <conditionalFormatting sqref="E146:E157">
    <cfRule type="expression" dxfId="130" priority="54">
      <formula>$B146="not found"</formula>
    </cfRule>
    <cfRule type="expression" dxfId="129" priority="50">
      <formula>$B144="not found"</formula>
    </cfRule>
    <cfRule type="expression" dxfId="128" priority="49">
      <formula>$B145="not found"</formula>
    </cfRule>
    <cfRule type="containsText" dxfId="127" priority="51" operator="containsText" text="not found">
      <formula>NOT(ISERROR(SEARCH("not found",E146)))</formula>
    </cfRule>
    <cfRule type="expression" dxfId="126" priority="52">
      <formula>$B145="not found"</formula>
    </cfRule>
  </conditionalFormatting>
  <conditionalFormatting sqref="E146:E158">
    <cfRule type="containsText" dxfId="125" priority="53" operator="containsText" text="not found">
      <formula>NOT(ISERROR(SEARCH("not found",E146)))</formula>
    </cfRule>
  </conditionalFormatting>
  <conditionalFormatting sqref="E159:E160">
    <cfRule type="expression" dxfId="124" priority="48">
      <formula>$B159="not found"</formula>
    </cfRule>
    <cfRule type="expression" dxfId="123" priority="46">
      <formula>$B158="not found"</formula>
    </cfRule>
    <cfRule type="containsText" dxfId="122" priority="45" operator="containsText" text="not found">
      <formula>NOT(ISERROR(SEARCH("not found",E159)))</formula>
    </cfRule>
    <cfRule type="expression" dxfId="121" priority="44">
      <formula>$B157="not found"</formula>
    </cfRule>
    <cfRule type="expression" dxfId="120" priority="43">
      <formula>$B158="not found"</formula>
    </cfRule>
  </conditionalFormatting>
  <conditionalFormatting sqref="E159:E162">
    <cfRule type="containsText" dxfId="119" priority="47" operator="containsText" text="not found">
      <formula>NOT(ISERROR(SEARCH("not found",E159)))</formula>
    </cfRule>
  </conditionalFormatting>
  <conditionalFormatting sqref="E163:E170">
    <cfRule type="expression" dxfId="118" priority="42">
      <formula>$B163="not found"</formula>
    </cfRule>
    <cfRule type="expression" dxfId="117" priority="40">
      <formula>$B162="not found"</formula>
    </cfRule>
    <cfRule type="containsText" dxfId="116" priority="39" operator="containsText" text="not found">
      <formula>NOT(ISERROR(SEARCH("not found",E163)))</formula>
    </cfRule>
    <cfRule type="expression" dxfId="115" priority="38">
      <formula>$B161="not found"</formula>
    </cfRule>
    <cfRule type="expression" dxfId="114" priority="37">
      <formula>$B162="not found"</formula>
    </cfRule>
  </conditionalFormatting>
  <conditionalFormatting sqref="E163:E172">
    <cfRule type="containsText" dxfId="113" priority="41" operator="containsText" text="not found">
      <formula>NOT(ISERROR(SEARCH("not found",E163)))</formula>
    </cfRule>
  </conditionalFormatting>
  <conditionalFormatting sqref="E173:E193">
    <cfRule type="expression" dxfId="112" priority="34">
      <formula>$B172="not found"</formula>
    </cfRule>
    <cfRule type="containsText" dxfId="111" priority="33" operator="containsText" text="not found">
      <formula>NOT(ISERROR(SEARCH("not found",E173)))</formula>
    </cfRule>
    <cfRule type="expression" dxfId="110" priority="32">
      <formula>$B171="not found"</formula>
    </cfRule>
    <cfRule type="expression" dxfId="109" priority="31">
      <formula>$B172="not found"</formula>
    </cfRule>
    <cfRule type="expression" dxfId="108" priority="36">
      <formula>$B173="not found"</formula>
    </cfRule>
  </conditionalFormatting>
  <conditionalFormatting sqref="E173:E195">
    <cfRule type="containsText" dxfId="107" priority="35" operator="containsText" text="not found">
      <formula>NOT(ISERROR(SEARCH("not found",E173)))</formula>
    </cfRule>
  </conditionalFormatting>
  <conditionalFormatting sqref="E196">
    <cfRule type="expression" dxfId="106" priority="28">
      <formula>$B195="not found"</formula>
    </cfRule>
    <cfRule type="containsText" dxfId="105" priority="29" operator="containsText" text="not found">
      <formula>NOT(ISERROR(SEARCH("not found",E196)))</formula>
    </cfRule>
    <cfRule type="expression" dxfId="104" priority="30">
      <formula>$B196="not found"</formula>
    </cfRule>
  </conditionalFormatting>
  <conditionalFormatting sqref="E196:E197">
    <cfRule type="expression" dxfId="103" priority="22">
      <formula>$B195="not found"</formula>
    </cfRule>
    <cfRule type="expression" dxfId="102" priority="20">
      <formula>$B194="not found"</formula>
    </cfRule>
  </conditionalFormatting>
  <conditionalFormatting sqref="E196:E199">
    <cfRule type="containsText" dxfId="101" priority="23" operator="containsText" text="not found">
      <formula>NOT(ISERROR(SEARCH("not found",E196)))</formula>
    </cfRule>
  </conditionalFormatting>
  <conditionalFormatting sqref="E197">
    <cfRule type="expression" dxfId="100" priority="24">
      <formula>$B197="not found"</formula>
    </cfRule>
    <cfRule type="containsText" dxfId="99" priority="21" operator="containsText" text="not found">
      <formula>NOT(ISERROR(SEARCH("not found",E197)))</formula>
    </cfRule>
    <cfRule type="expression" dxfId="98" priority="19">
      <formula>$B196="not found"</formula>
    </cfRule>
  </conditionalFormatting>
  <conditionalFormatting sqref="E200">
    <cfRule type="expression" dxfId="97" priority="18">
      <formula>$B200="not found"</formula>
    </cfRule>
    <cfRule type="containsText" dxfId="96" priority="17" operator="containsText" text="not found">
      <formula>NOT(ISERROR(SEARCH("not found",E200)))</formula>
    </cfRule>
    <cfRule type="expression" dxfId="95" priority="16">
      <formula>$B199="not found"</formula>
    </cfRule>
  </conditionalFormatting>
  <conditionalFormatting sqref="E200:E201">
    <cfRule type="containsText" dxfId="94" priority="11" operator="containsText" text="not found">
      <formula>NOT(ISERROR(SEARCH("not found",E200)))</formula>
    </cfRule>
    <cfRule type="expression" dxfId="93" priority="10">
      <formula>$B199="not found"</formula>
    </cfRule>
    <cfRule type="expression" dxfId="92" priority="8">
      <formula>$B198="not found"</formula>
    </cfRule>
  </conditionalFormatting>
  <conditionalFormatting sqref="E201">
    <cfRule type="expression" dxfId="91" priority="12">
      <formula>$B201="not found"</formula>
    </cfRule>
    <cfRule type="containsText" dxfId="90" priority="9" operator="containsText" text="not found">
      <formula>NOT(ISERROR(SEARCH("not found",E201)))</formula>
    </cfRule>
    <cfRule type="expression" dxfId="89" priority="7">
      <formula>$B200="not found"</formula>
    </cfRule>
  </conditionalFormatting>
  <conditionalFormatting sqref="E205 B205:D213">
    <cfRule type="containsText" dxfId="88" priority="120" operator="containsText" text="not found">
      <formula>NOT(ISERROR(SEARCH("not found",B205)))</formula>
    </cfRule>
  </conditionalFormatting>
  <conditionalFormatting sqref="F7:F31 F33:I49 F79:I79 F133:I134">
    <cfRule type="containsText" dxfId="87" priority="109" operator="containsText" text="not found">
      <formula>NOT(ISERROR(SEARCH("not found",F7)))</formula>
    </cfRule>
  </conditionalFormatting>
  <conditionalFormatting sqref="F83:F131">
    <cfRule type="containsText" dxfId="86" priority="97" operator="containsText" text="not found">
      <formula>NOT(ISERROR(SEARCH("not found",F83)))</formula>
    </cfRule>
  </conditionalFormatting>
  <conditionalFormatting sqref="F205:F213">
    <cfRule type="containsText" dxfId="85" priority="108" operator="containsText" text="not found">
      <formula>NOT(ISERROR(SEARCH("not found",F205)))</formula>
    </cfRule>
  </conditionalFormatting>
  <conditionalFormatting sqref="F60:H64">
    <cfRule type="containsText" dxfId="84" priority="107" operator="containsText" text="not found">
      <formula>NOT(ISERROR(SEARCH("not found",F60)))</formula>
    </cfRule>
  </conditionalFormatting>
  <conditionalFormatting sqref="F66:H68">
    <cfRule type="containsText" dxfId="83" priority="106" operator="containsText" text="not found">
      <formula>NOT(ISERROR(SEARCH("not found",F66)))</formula>
    </cfRule>
  </conditionalFormatting>
  <conditionalFormatting sqref="F51:I58">
    <cfRule type="containsText" dxfId="82" priority="98" operator="containsText" text="not found">
      <formula>NOT(ISERROR(SEARCH("not found",F51)))</formula>
    </cfRule>
  </conditionalFormatting>
  <conditionalFormatting sqref="F70:I73">
    <cfRule type="containsText" dxfId="81" priority="105" operator="containsText" text="not found">
      <formula>NOT(ISERROR(SEARCH("not found",F70)))</formula>
    </cfRule>
  </conditionalFormatting>
  <conditionalFormatting sqref="F75:I77">
    <cfRule type="containsText" dxfId="80" priority="104" operator="containsText" text="not found">
      <formula>NOT(ISERROR(SEARCH("not found",F75)))</formula>
    </cfRule>
  </conditionalFormatting>
  <conditionalFormatting sqref="F81:I81">
    <cfRule type="containsText" dxfId="79" priority="103" operator="containsText" text="not found">
      <formula>NOT(ISERROR(SEARCH("not found",F81)))</formula>
    </cfRule>
  </conditionalFormatting>
  <conditionalFormatting sqref="F136:I139">
    <cfRule type="containsText" dxfId="78" priority="100" operator="containsText" text="not found">
      <formula>NOT(ISERROR(SEARCH("not found",F136)))</formula>
    </cfRule>
  </conditionalFormatting>
  <conditionalFormatting sqref="F141:I201">
    <cfRule type="containsText" dxfId="77" priority="99" operator="containsText" text="not found">
      <formula>NOT(ISERROR(SEARCH("not found",F141)))</formula>
    </cfRule>
  </conditionalFormatting>
  <conditionalFormatting sqref="G83:I93">
    <cfRule type="containsText" dxfId="76" priority="136" operator="containsText" text="not found">
      <formula>NOT(ISERROR(SEARCH("not found",G83)))</formula>
    </cfRule>
  </conditionalFormatting>
  <conditionalFormatting sqref="G97:L99">
    <cfRule type="containsText" dxfId="75" priority="135" operator="containsText" text="not found">
      <formula>NOT(ISERROR(SEARCH("not found",G97)))</formula>
    </cfRule>
  </conditionalFormatting>
  <conditionalFormatting sqref="G101:L102">
    <cfRule type="containsText" dxfId="74" priority="134" operator="containsText" text="not found">
      <formula>NOT(ISERROR(SEARCH("not found",G101)))</formula>
    </cfRule>
  </conditionalFormatting>
  <dataValidations disablePrompts="1" count="1">
    <dataValidation type="whole" allowBlank="1" showInputMessage="1" showErrorMessage="1" errorTitle="Exceeds Maximum Quantity" error="Maximum quantity is 1." promptTitle="First Day Site Support" prompt="User could only enter a 1" sqref="F200" xr:uid="{9B542249-1802-43BA-91D2-6E7A20076ADA}">
      <formula1>0</formula1>
      <formula2>1</formula2>
    </dataValidation>
  </dataValidations>
  <pageMargins left="0" right="0" top="0" bottom="0" header="0.511811023622047" footer="0.511811023622047"/>
  <pageSetup fitToHeight="0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ACE2-C1CF-4935-A29D-7F1AD958C7ED}">
  <sheetPr>
    <pageSetUpPr fitToPage="1"/>
  </sheetPr>
  <dimension ref="A1:M222"/>
  <sheetViews>
    <sheetView zoomScale="85" zoomScaleNormal="85" workbookViewId="0">
      <pane ySplit="7" topLeftCell="A84" activePane="bottomLeft" state="frozen"/>
      <selection pane="bottomLeft" activeCell="F105" sqref="F105"/>
    </sheetView>
  </sheetViews>
  <sheetFormatPr defaultColWidth="8.7109375" defaultRowHeight="15" x14ac:dyDescent="0.25"/>
  <cols>
    <col min="1" max="1" width="6.28515625" customWidth="1"/>
    <col min="2" max="2" width="74.85546875" customWidth="1"/>
    <col min="3" max="3" width="9.5703125" style="1" customWidth="1"/>
    <col min="4" max="4" width="27.140625" customWidth="1"/>
    <col min="5" max="7" width="14.42578125" customWidth="1"/>
    <col min="8" max="8" width="14.42578125" style="2" customWidth="1"/>
    <col min="9" max="11" width="14.42578125" customWidth="1"/>
    <col min="12" max="12" width="1" style="3" customWidth="1"/>
    <col min="13" max="13" width="11.5703125" customWidth="1"/>
  </cols>
  <sheetData>
    <row r="1" spans="2:13" ht="67.5" customHeight="1" thickBot="1" x14ac:dyDescent="0.3">
      <c r="B1" s="196" t="s">
        <v>1918</v>
      </c>
      <c r="C1" s="196"/>
      <c r="D1" s="4"/>
      <c r="E1" s="4"/>
      <c r="F1" s="5"/>
      <c r="G1" s="6"/>
      <c r="H1" s="7"/>
      <c r="I1" s="6"/>
      <c r="J1" s="6"/>
      <c r="K1" s="6"/>
    </row>
    <row r="2" spans="2:13" ht="19.7" customHeight="1" thickBot="1" x14ac:dyDescent="0.35">
      <c r="B2" s="197" t="s">
        <v>1</v>
      </c>
      <c r="C2" s="197"/>
      <c r="D2" s="4"/>
      <c r="E2" s="4"/>
      <c r="F2" s="5"/>
      <c r="G2" s="6"/>
      <c r="H2" s="7"/>
      <c r="I2" s="6"/>
      <c r="J2" s="6"/>
      <c r="K2" s="6"/>
    </row>
    <row r="3" spans="2:13" ht="19.5" customHeight="1" x14ac:dyDescent="0.25">
      <c r="B3" s="8"/>
      <c r="C3" s="9"/>
      <c r="D3" s="4"/>
      <c r="E3" s="4"/>
      <c r="F3" s="5"/>
      <c r="G3" s="6"/>
      <c r="H3" s="7"/>
      <c r="I3" s="6"/>
      <c r="J3" s="6"/>
      <c r="K3" s="6"/>
    </row>
    <row r="4" spans="2:13" ht="15.75" thickBot="1" x14ac:dyDescent="0.3">
      <c r="B4" s="10"/>
      <c r="C4" s="11"/>
      <c r="D4" s="4"/>
      <c r="E4" s="12"/>
      <c r="F4" s="8"/>
      <c r="G4" s="13" t="s">
        <v>2</v>
      </c>
      <c r="H4" s="14"/>
      <c r="I4" s="13"/>
      <c r="J4" s="13"/>
      <c r="K4" s="13"/>
    </row>
    <row r="5" spans="2:13" ht="15.75" thickBot="1" x14ac:dyDescent="0.3">
      <c r="B5" s="15" t="s">
        <v>3</v>
      </c>
      <c r="C5" s="16" t="s">
        <v>4</v>
      </c>
      <c r="E5" s="17"/>
      <c r="G5" s="18">
        <v>0.37</v>
      </c>
      <c r="H5" s="19"/>
      <c r="I5" s="19"/>
      <c r="J5" s="19"/>
      <c r="K5" s="19"/>
    </row>
    <row r="6" spans="2:13" ht="16.5" thickBot="1" x14ac:dyDescent="0.3">
      <c r="B6" s="20"/>
      <c r="C6" s="21"/>
      <c r="D6" s="20"/>
      <c r="E6" s="20"/>
      <c r="F6" s="20"/>
      <c r="G6" s="20"/>
      <c r="H6" s="22"/>
      <c r="I6" s="20"/>
      <c r="J6" s="20"/>
      <c r="K6" s="20"/>
    </row>
    <row r="7" spans="2:13" ht="27" thickBot="1" x14ac:dyDescent="0.3">
      <c r="B7" s="23" t="s">
        <v>5</v>
      </c>
      <c r="C7" s="24" t="s">
        <v>6</v>
      </c>
      <c r="D7" s="25" t="s">
        <v>7</v>
      </c>
      <c r="E7" s="26" t="s">
        <v>8</v>
      </c>
      <c r="F7" s="27" t="s">
        <v>9</v>
      </c>
      <c r="G7" s="28" t="s">
        <v>10</v>
      </c>
      <c r="H7" s="29" t="s">
        <v>11</v>
      </c>
      <c r="I7" s="30" t="s">
        <v>12</v>
      </c>
      <c r="J7" s="30" t="s">
        <v>13</v>
      </c>
      <c r="K7" s="30" t="s">
        <v>14</v>
      </c>
      <c r="M7" s="31"/>
    </row>
    <row r="8" spans="2:13" ht="9.75" customHeight="1" thickBot="1" x14ac:dyDescent="0.3">
      <c r="B8" s="32"/>
      <c r="C8" s="33"/>
      <c r="D8" s="34"/>
      <c r="E8" s="35"/>
      <c r="F8" s="36"/>
      <c r="G8" s="37"/>
      <c r="H8" s="38"/>
      <c r="I8" s="39"/>
      <c r="J8" s="39"/>
      <c r="K8" s="39"/>
    </row>
    <row r="9" spans="2:13" ht="18.75" customHeight="1" thickBot="1" x14ac:dyDescent="0.3">
      <c r="B9" s="198" t="s">
        <v>15</v>
      </c>
      <c r="C9" s="198"/>
      <c r="D9" s="198"/>
      <c r="E9" s="198"/>
      <c r="F9" s="198"/>
      <c r="G9" s="198"/>
      <c r="H9" s="40"/>
      <c r="I9" s="40">
        <v>0.6</v>
      </c>
      <c r="J9" s="40">
        <v>0.67500000000000004</v>
      </c>
      <c r="K9" s="40">
        <v>0.75</v>
      </c>
    </row>
    <row r="10" spans="2:13" ht="18.75" customHeight="1" thickBot="1" x14ac:dyDescent="0.3">
      <c r="B10" s="199" t="s">
        <v>16</v>
      </c>
      <c r="C10" s="199"/>
      <c r="D10" s="199"/>
      <c r="E10" s="199"/>
      <c r="F10" s="199"/>
      <c r="G10" s="199"/>
      <c r="H10" s="41"/>
      <c r="I10" s="41"/>
      <c r="J10" s="41"/>
      <c r="K10" s="41"/>
    </row>
    <row r="11" spans="2:13" ht="18.75" customHeight="1" x14ac:dyDescent="0.25">
      <c r="B11" s="42" t="s">
        <v>17</v>
      </c>
      <c r="C11" s="43">
        <v>1</v>
      </c>
      <c r="D11" s="44" t="s">
        <v>18</v>
      </c>
      <c r="E11" s="45">
        <v>195.71</v>
      </c>
      <c r="F11" s="46">
        <f>CEILING((Updated!F11*1.06),0.5)</f>
        <v>2986.5</v>
      </c>
      <c r="G11" s="46">
        <f>F11*$G$5</f>
        <v>1105.0049999999999</v>
      </c>
      <c r="H11" s="47">
        <f>((G11-E11)/G11)</f>
        <v>0.82288767924127038</v>
      </c>
      <c r="I11" s="48">
        <f>(($E11/(1-$I9)))</f>
        <v>489.27499999999998</v>
      </c>
      <c r="J11" s="48">
        <f>(($E11/(1-$J$9)))</f>
        <v>602.18461538461554</v>
      </c>
      <c r="K11" s="48">
        <f>(($E11/(1-$K9)))</f>
        <v>782.84</v>
      </c>
    </row>
    <row r="12" spans="2:13" ht="18.75" customHeight="1" thickBot="1" x14ac:dyDescent="0.3">
      <c r="B12" s="42" t="s">
        <v>19</v>
      </c>
      <c r="C12" s="43">
        <v>1</v>
      </c>
      <c r="D12" s="49" t="s">
        <v>20</v>
      </c>
      <c r="E12" s="50">
        <v>171.53399999999999</v>
      </c>
      <c r="F12" s="46">
        <f>CEILING((Updated!F12*1.06),0.5)</f>
        <v>2874.5</v>
      </c>
      <c r="G12" s="46">
        <f>F12*$G$5</f>
        <v>1063.5650000000001</v>
      </c>
      <c r="H12" s="47">
        <f>((G12-E12)/G12)</f>
        <v>0.83871789688453458</v>
      </c>
      <c r="I12" s="48">
        <f>(($E12/(1-$I$9)))</f>
        <v>428.83499999999998</v>
      </c>
      <c r="J12" s="48">
        <f>(($E12/(1-$J$9)))</f>
        <v>527.79692307692312</v>
      </c>
      <c r="K12" s="48">
        <f>(($E12/(1-$K$9)))</f>
        <v>686.13599999999997</v>
      </c>
    </row>
    <row r="13" spans="2:13" ht="18.75" customHeight="1" thickBot="1" x14ac:dyDescent="0.3">
      <c r="B13" s="200" t="s">
        <v>21</v>
      </c>
      <c r="C13" s="200"/>
      <c r="D13" s="200"/>
      <c r="E13" s="200"/>
      <c r="F13" s="200"/>
      <c r="G13" s="200"/>
      <c r="H13" s="51"/>
      <c r="I13" s="48"/>
      <c r="J13" s="48"/>
      <c r="K13" s="48"/>
    </row>
    <row r="14" spans="2:13" ht="18.75" customHeight="1" x14ac:dyDescent="0.25">
      <c r="B14" s="42" t="s">
        <v>22</v>
      </c>
      <c r="C14" s="43">
        <v>1</v>
      </c>
      <c r="D14" s="52" t="s">
        <v>23</v>
      </c>
      <c r="E14" s="45">
        <v>160.1174</v>
      </c>
      <c r="F14" s="46">
        <f>CEILING((Updated!F14*1.06),0.5)</f>
        <v>3333</v>
      </c>
      <c r="G14" s="46">
        <f>F14*$G$5</f>
        <v>1233.21</v>
      </c>
      <c r="H14" s="47">
        <f>((G14-E14)/G14)</f>
        <v>0.87016209729081007</v>
      </c>
      <c r="I14" s="48">
        <f>(($E14/(1-I$9)))</f>
        <v>400.29349999999999</v>
      </c>
      <c r="J14" s="48">
        <f>(($E14/(1-$J$9)))</f>
        <v>492.66892307692314</v>
      </c>
      <c r="K14" s="48">
        <f>(($E14/(1-K$9)))</f>
        <v>640.46960000000001</v>
      </c>
    </row>
    <row r="15" spans="2:13" ht="18.75" customHeight="1" thickBot="1" x14ac:dyDescent="0.3">
      <c r="B15" s="42" t="s">
        <v>24</v>
      </c>
      <c r="C15" s="43">
        <v>1</v>
      </c>
      <c r="D15" s="52" t="s">
        <v>25</v>
      </c>
      <c r="E15" s="45">
        <v>241.4136</v>
      </c>
      <c r="F15" s="46">
        <f>CEILING((Updated!F15*1.06),0.5)</f>
        <v>2985.5</v>
      </c>
      <c r="G15" s="46">
        <f>F15*$G$5</f>
        <v>1104.635</v>
      </c>
      <c r="H15" s="47">
        <f>((G15-E15)/G15)</f>
        <v>0.78145396443169013</v>
      </c>
      <c r="I15" s="48">
        <f>(($E15/(1-$I$9)))</f>
        <v>603.53399999999999</v>
      </c>
      <c r="J15" s="48">
        <f>(($E15/(1-$J$9)))</f>
        <v>742.81107692307705</v>
      </c>
      <c r="K15" s="48">
        <f>(($E15/(1-$K$9)))</f>
        <v>965.65440000000001</v>
      </c>
    </row>
    <row r="16" spans="2:13" ht="18.75" customHeight="1" x14ac:dyDescent="0.25">
      <c r="B16" s="201" t="s">
        <v>26</v>
      </c>
      <c r="C16" s="201"/>
      <c r="D16" s="201"/>
      <c r="E16" s="201"/>
      <c r="F16" s="201"/>
      <c r="G16" s="201"/>
      <c r="H16" s="51"/>
      <c r="I16" s="48"/>
      <c r="J16" s="48"/>
      <c r="K16" s="48"/>
    </row>
    <row r="17" spans="2:11" ht="18.75" customHeight="1" x14ac:dyDescent="0.25">
      <c r="B17" s="53" t="s">
        <v>27</v>
      </c>
      <c r="C17" s="54">
        <v>1</v>
      </c>
      <c r="D17" s="44" t="s">
        <v>28</v>
      </c>
      <c r="E17" s="55">
        <v>52.320099999999996</v>
      </c>
      <c r="F17" s="46">
        <f>CEILING((Updated!F17*1.06),0.5)</f>
        <v>1332.5</v>
      </c>
      <c r="G17" s="57">
        <f>F17*$G$5</f>
        <v>493.02499999999998</v>
      </c>
      <c r="H17" s="47">
        <f>((G17-E17)/G17)</f>
        <v>0.89387941787941783</v>
      </c>
      <c r="I17" s="48">
        <f>(($E17/(1-I$9)))</f>
        <v>130.80024999999998</v>
      </c>
      <c r="J17" s="48">
        <f>(($E17/(1-$J$9)))</f>
        <v>160.98492307692308</v>
      </c>
      <c r="K17" s="48">
        <f>(($E17/(1-K$9)))</f>
        <v>209.28039999999999</v>
      </c>
    </row>
    <row r="18" spans="2:11" ht="18.75" customHeight="1" x14ac:dyDescent="0.25">
      <c r="B18" s="53" t="s">
        <v>29</v>
      </c>
      <c r="C18" s="54">
        <v>1</v>
      </c>
      <c r="D18" s="44" t="s">
        <v>30</v>
      </c>
      <c r="E18" s="55">
        <v>34.543799999999997</v>
      </c>
      <c r="F18" s="46">
        <f>CEILING((Updated!F18*1.06),0.5)</f>
        <v>1262.5</v>
      </c>
      <c r="G18" s="57">
        <f>F18*$G$5</f>
        <v>467.125</v>
      </c>
      <c r="H18" s="47">
        <f>((G18-E18)/G18)</f>
        <v>0.92605020069574528</v>
      </c>
      <c r="I18" s="48">
        <f>(($E18/(1-I$9)))</f>
        <v>86.359499999999983</v>
      </c>
      <c r="J18" s="48">
        <f>(($E18/(1-$J$9)))</f>
        <v>106.2886153846154</v>
      </c>
      <c r="K18" s="48">
        <f>(($E18/(1-K$9)))</f>
        <v>138.17519999999999</v>
      </c>
    </row>
    <row r="19" spans="2:11" ht="18.75" customHeight="1" x14ac:dyDescent="0.25">
      <c r="B19" s="53" t="s">
        <v>31</v>
      </c>
      <c r="C19" s="54">
        <v>1</v>
      </c>
      <c r="D19" s="44" t="s">
        <v>32</v>
      </c>
      <c r="E19" s="55">
        <v>51.854239999999997</v>
      </c>
      <c r="F19" s="46">
        <f>CEILING((Updated!F19*1.06),0.5)</f>
        <v>1332.5</v>
      </c>
      <c r="G19" s="57">
        <f>F19*$G$5</f>
        <v>493.02499999999998</v>
      </c>
      <c r="H19" s="47">
        <f>((G19-E19)/G19)</f>
        <v>0.89482431925358752</v>
      </c>
      <c r="I19" s="48">
        <f>(($E19/(1-I$9)))</f>
        <v>129.63559999999998</v>
      </c>
      <c r="J19" s="48">
        <f>(($E19/(1-$J$9)))</f>
        <v>159.55150769230769</v>
      </c>
      <c r="K19" s="48">
        <f>(($E19/(1-K$9)))</f>
        <v>207.41695999999999</v>
      </c>
    </row>
    <row r="20" spans="2:11" ht="18.75" customHeight="1" thickBot="1" x14ac:dyDescent="0.3">
      <c r="B20" s="59" t="s">
        <v>33</v>
      </c>
      <c r="C20" s="60">
        <v>1</v>
      </c>
      <c r="D20" s="61" t="s">
        <v>34</v>
      </c>
      <c r="E20" s="62">
        <v>34.077939999999998</v>
      </c>
      <c r="F20" s="46">
        <f>CEILING((Updated!F20*1.06),0.5)</f>
        <v>1262.5</v>
      </c>
      <c r="G20" s="63">
        <f>F20*$G$5</f>
        <v>467.125</v>
      </c>
      <c r="H20" s="47">
        <f>((G20-E20)/G20)</f>
        <v>0.92704749264115593</v>
      </c>
      <c r="I20" s="48">
        <f>(($E20/(1-I$9)))</f>
        <v>85.194849999999988</v>
      </c>
      <c r="J20" s="48">
        <f>(($E20/(1-$J$9)))</f>
        <v>104.85520000000001</v>
      </c>
      <c r="K20" s="48">
        <f>(($E20/(1-K$9)))</f>
        <v>136.31175999999999</v>
      </c>
    </row>
    <row r="21" spans="2:11" ht="18.75" customHeight="1" x14ac:dyDescent="0.25">
      <c r="B21" s="202" t="s">
        <v>35</v>
      </c>
      <c r="C21" s="202"/>
      <c r="D21" s="202"/>
      <c r="E21" s="202"/>
      <c r="F21" s="202"/>
      <c r="G21" s="202"/>
      <c r="H21" s="51"/>
      <c r="I21" s="48"/>
      <c r="J21" s="48"/>
      <c r="K21" s="48"/>
    </row>
    <row r="22" spans="2:11" ht="18.75" customHeight="1" x14ac:dyDescent="0.25">
      <c r="B22" s="53" t="s">
        <v>36</v>
      </c>
      <c r="C22" s="54">
        <v>1</v>
      </c>
      <c r="D22" s="44" t="s">
        <v>37</v>
      </c>
      <c r="E22" s="55">
        <v>102.34866</v>
      </c>
      <c r="F22" s="46">
        <f>CEILING((Updated!F22*1.06),0.5)</f>
        <v>1262.5</v>
      </c>
      <c r="G22" s="57">
        <f>F22*$G$5</f>
        <v>467.125</v>
      </c>
      <c r="H22" s="47">
        <f>((G22-E22)/G22)</f>
        <v>0.78089663366336637</v>
      </c>
      <c r="I22" s="48">
        <f>(($E22/(1-I$9)))</f>
        <v>255.87164999999999</v>
      </c>
      <c r="J22" s="48">
        <f>(($E22/(1-$J$9)))</f>
        <v>314.9189538461539</v>
      </c>
      <c r="K22" s="48">
        <f>(($E22/(1-K$9)))</f>
        <v>409.39463999999998</v>
      </c>
    </row>
    <row r="23" spans="2:11" ht="18.75" customHeight="1" x14ac:dyDescent="0.25">
      <c r="B23" s="53" t="s">
        <v>38</v>
      </c>
      <c r="C23" s="54">
        <v>1</v>
      </c>
      <c r="D23" s="44" t="s">
        <v>39</v>
      </c>
      <c r="E23" s="55">
        <v>230.5925</v>
      </c>
      <c r="F23" s="46">
        <f>CEILING((Updated!F23*1.06),0.5)</f>
        <v>2345</v>
      </c>
      <c r="G23" s="57">
        <f>F23*$G$5</f>
        <v>867.65</v>
      </c>
      <c r="H23" s="47">
        <f>((G23-E23)/G23)</f>
        <v>0.73423327378551262</v>
      </c>
      <c r="I23" s="48">
        <f>(($E23/(1-I$9)))</f>
        <v>576.48124999999993</v>
      </c>
      <c r="J23" s="48">
        <f>(($E23/(1-$J$9)))</f>
        <v>709.51538461538473</v>
      </c>
      <c r="K23" s="48">
        <f>(($E23/(1-K$9)))</f>
        <v>922.37</v>
      </c>
    </row>
    <row r="24" spans="2:11" ht="18.75" customHeight="1" x14ac:dyDescent="0.25">
      <c r="B24" s="53" t="s">
        <v>40</v>
      </c>
      <c r="C24" s="54">
        <v>1</v>
      </c>
      <c r="D24" s="44" t="s">
        <v>41</v>
      </c>
      <c r="E24" s="55">
        <v>60.22</v>
      </c>
      <c r="F24" s="46">
        <f>CEILING((Updated!F24*1.06),0.5)</f>
        <v>1332.5</v>
      </c>
      <c r="G24" s="57">
        <f>F24*$G$5</f>
        <v>493.02499999999998</v>
      </c>
      <c r="H24" s="47">
        <f>((G24-E24)/G24)</f>
        <v>0.87785609249023877</v>
      </c>
      <c r="I24" s="48">
        <f>(($E24/(1-I$9)))</f>
        <v>150.54999999999998</v>
      </c>
      <c r="J24" s="48">
        <f>(($E24/(1-$J$9)))</f>
        <v>185.2923076923077</v>
      </c>
      <c r="K24" s="48">
        <f>(($E24/(1-K$9)))</f>
        <v>240.88</v>
      </c>
    </row>
    <row r="25" spans="2:11" ht="18.75" customHeight="1" thickBot="1" x14ac:dyDescent="0.3">
      <c r="B25" s="59" t="s">
        <v>42</v>
      </c>
      <c r="C25" s="60">
        <v>1</v>
      </c>
      <c r="D25" s="61" t="s">
        <v>43</v>
      </c>
      <c r="E25" s="62">
        <v>35.203800000000001</v>
      </c>
      <c r="F25" s="46">
        <f>CEILING((Updated!F25*1.06),0.5)</f>
        <v>1759</v>
      </c>
      <c r="G25" s="57">
        <f>F25*$G$5</f>
        <v>650.83000000000004</v>
      </c>
      <c r="H25" s="47">
        <f>((G25-E25)/G25)</f>
        <v>0.94590937725673374</v>
      </c>
      <c r="I25" s="48">
        <f>(($E25/(1-I$9)))</f>
        <v>88.009500000000003</v>
      </c>
      <c r="J25" s="48">
        <f>(($E25/(1-$J$9)))</f>
        <v>108.31938461538464</v>
      </c>
      <c r="K25" s="48">
        <f>(($E25/(1-K$9)))</f>
        <v>140.8152</v>
      </c>
    </row>
    <row r="26" spans="2:11" ht="18.75" customHeight="1" x14ac:dyDescent="0.25">
      <c r="B26" s="202" t="s">
        <v>44</v>
      </c>
      <c r="C26" s="202"/>
      <c r="D26" s="202"/>
      <c r="E26" s="202"/>
      <c r="F26" s="202"/>
      <c r="G26" s="202"/>
      <c r="H26" s="51"/>
      <c r="I26" s="48"/>
      <c r="J26" s="48"/>
      <c r="K26" s="48"/>
    </row>
    <row r="27" spans="2:11" ht="18.75" customHeight="1" x14ac:dyDescent="0.25">
      <c r="B27" s="53" t="s">
        <v>45</v>
      </c>
      <c r="C27" s="54">
        <v>1</v>
      </c>
      <c r="D27" s="44" t="s">
        <v>46</v>
      </c>
      <c r="E27" s="55">
        <v>193.33680000000001</v>
      </c>
      <c r="F27" s="46">
        <f>CEILING((Updated!F27*1.06),0.5)</f>
        <v>2986.5</v>
      </c>
      <c r="G27" s="57">
        <f>F27*$G$5</f>
        <v>1105.0049999999999</v>
      </c>
      <c r="H27" s="47">
        <f>((G27-E27)/G27)</f>
        <v>0.82503536183094184</v>
      </c>
      <c r="I27" s="48">
        <f>(($E27/(1-I$9)))</f>
        <v>483.34199999999998</v>
      </c>
      <c r="J27" s="48">
        <f>(($E27/(1-$J$9)))</f>
        <v>594.8824615384616</v>
      </c>
      <c r="K27" s="48">
        <f>(($E27/(1-K$9)))</f>
        <v>773.34720000000004</v>
      </c>
    </row>
    <row r="28" spans="2:11" ht="18.75" customHeight="1" x14ac:dyDescent="0.25">
      <c r="B28" s="53" t="s">
        <v>47</v>
      </c>
      <c r="C28" s="54">
        <v>1</v>
      </c>
      <c r="D28" s="44" t="s">
        <v>48</v>
      </c>
      <c r="E28" s="55">
        <v>50.4801</v>
      </c>
      <c r="F28" s="46">
        <f>CEILING((Updated!F28*1.06),0.5)</f>
        <v>1332.5</v>
      </c>
      <c r="G28" s="57">
        <f>F28*$G$5</f>
        <v>493.02499999999998</v>
      </c>
      <c r="H28" s="47">
        <f>((G28-E28)/G28)</f>
        <v>0.89761148014806558</v>
      </c>
      <c r="I28" s="48">
        <f>(($E28/(1-I$9)))</f>
        <v>126.20025</v>
      </c>
      <c r="J28" s="48">
        <f>(($E28/(1-$J$9)))</f>
        <v>155.32338461538464</v>
      </c>
      <c r="K28" s="48">
        <f>(($E28/(1-K$9)))</f>
        <v>201.9204</v>
      </c>
    </row>
    <row r="29" spans="2:11" ht="18.75" customHeight="1" thickBot="1" x14ac:dyDescent="0.3">
      <c r="B29" s="59" t="s">
        <v>49</v>
      </c>
      <c r="C29" s="60">
        <v>1</v>
      </c>
      <c r="D29" s="61" t="s">
        <v>50</v>
      </c>
      <c r="E29" s="62">
        <v>32.703800000000001</v>
      </c>
      <c r="F29" s="46">
        <f>CEILING((Updated!F29*1.06),0.5)</f>
        <v>1262.5</v>
      </c>
      <c r="G29" s="57">
        <f>F29*$G$5</f>
        <v>467.125</v>
      </c>
      <c r="H29" s="47">
        <f>((G29-E29)/G29)</f>
        <v>0.92998918918918916</v>
      </c>
      <c r="I29" s="48">
        <f>(($E29/(1-I$9)))</f>
        <v>81.759500000000003</v>
      </c>
      <c r="J29" s="48">
        <f>(($E29/(1-$J$9)))</f>
        <v>100.62707692307694</v>
      </c>
      <c r="K29" s="48">
        <f>(($E29/(1-K$9)))</f>
        <v>130.8152</v>
      </c>
    </row>
    <row r="30" spans="2:11" ht="18.75" customHeight="1" thickBot="1" x14ac:dyDescent="0.3">
      <c r="B30" s="203" t="s">
        <v>51</v>
      </c>
      <c r="C30" s="203"/>
      <c r="D30" s="203"/>
      <c r="E30" s="203"/>
      <c r="F30" s="203"/>
      <c r="G30" s="203"/>
      <c r="H30" s="51"/>
      <c r="I30" s="48"/>
      <c r="J30" s="48"/>
      <c r="K30" s="48"/>
    </row>
    <row r="31" spans="2:11" ht="18.75" customHeight="1" thickBot="1" x14ac:dyDescent="0.3">
      <c r="B31" s="64" t="s">
        <v>52</v>
      </c>
      <c r="C31" s="65">
        <v>1</v>
      </c>
      <c r="D31" s="49" t="s">
        <v>53</v>
      </c>
      <c r="E31" s="66">
        <v>68.490399999999994</v>
      </c>
      <c r="F31" s="46">
        <f>CEILING((Updated!F31*1.06),0.5)</f>
        <v>2316.5</v>
      </c>
      <c r="G31" s="57">
        <f>F31*$G$5</f>
        <v>857.10500000000002</v>
      </c>
      <c r="H31" s="47">
        <f>((G31-E31)/G31)</f>
        <v>0.92009100401934418</v>
      </c>
      <c r="I31" s="48">
        <f>(($E31/(1-I$9)))</f>
        <v>171.22599999999997</v>
      </c>
      <c r="J31" s="48">
        <f>(($E31/(1-$J$9)))</f>
        <v>210.73969230769231</v>
      </c>
      <c r="K31" s="48">
        <f>(($E31/(1-K$9)))</f>
        <v>273.96159999999998</v>
      </c>
    </row>
    <row r="32" spans="2:11" ht="18.75" customHeight="1" thickBot="1" x14ac:dyDescent="0.3">
      <c r="B32" s="204"/>
      <c r="C32" s="204"/>
      <c r="D32" s="204"/>
      <c r="E32" s="204"/>
      <c r="F32" s="204"/>
      <c r="G32" s="204"/>
      <c r="H32" s="67"/>
      <c r="I32" s="48"/>
      <c r="J32" s="48"/>
      <c r="K32" s="48"/>
    </row>
    <row r="33" spans="2:11" ht="18.75" customHeight="1" thickBot="1" x14ac:dyDescent="0.3">
      <c r="B33" s="200" t="s">
        <v>54</v>
      </c>
      <c r="C33" s="200"/>
      <c r="D33" s="200"/>
      <c r="E33" s="200"/>
      <c r="F33" s="200"/>
      <c r="G33" s="200"/>
      <c r="H33" s="51"/>
      <c r="I33" s="48"/>
      <c r="J33" s="48"/>
      <c r="K33" s="48"/>
    </row>
    <row r="34" spans="2:11" ht="18.75" customHeight="1" x14ac:dyDescent="0.25">
      <c r="B34" s="42" t="s">
        <v>55</v>
      </c>
      <c r="C34" s="43">
        <v>1</v>
      </c>
      <c r="D34" s="52" t="s">
        <v>56</v>
      </c>
      <c r="E34" s="68">
        <v>103.42</v>
      </c>
      <c r="F34" s="46">
        <f>CEILING((Updated!F34*1.06),0.5)</f>
        <v>1310</v>
      </c>
      <c r="G34" s="46">
        <f t="shared" ref="G34:G49" si="0">F34*$G$5</f>
        <v>484.7</v>
      </c>
      <c r="H34" s="47">
        <f t="shared" ref="H34:H49" si="1">((G34-E34)/G34)</f>
        <v>0.78663090571487515</v>
      </c>
      <c r="I34" s="48">
        <f t="shared" ref="I34:I49" si="2">(($E34/(1-I$9)))</f>
        <v>258.55</v>
      </c>
      <c r="J34" s="48">
        <f t="shared" ref="J34:J49" si="3">(($E34/(1-$J$9)))</f>
        <v>318.21538461538466</v>
      </c>
      <c r="K34" s="48">
        <f t="shared" ref="K34:K49" si="4">(($E34/(1-K$9)))</f>
        <v>413.68</v>
      </c>
    </row>
    <row r="35" spans="2:11" ht="18.75" customHeight="1" x14ac:dyDescent="0.25">
      <c r="B35" s="42" t="s">
        <v>57</v>
      </c>
      <c r="C35" s="43">
        <v>1</v>
      </c>
      <c r="D35" s="44" t="s">
        <v>58</v>
      </c>
      <c r="E35" s="68">
        <v>133.38999999999999</v>
      </c>
      <c r="F35" s="46">
        <f>CEILING((Updated!F35*1.06),0.5)</f>
        <v>1556.5</v>
      </c>
      <c r="G35" s="46">
        <f t="shared" si="0"/>
        <v>575.90499999999997</v>
      </c>
      <c r="H35" s="47">
        <f t="shared" si="1"/>
        <v>0.76838193799324539</v>
      </c>
      <c r="I35" s="48">
        <f t="shared" si="2"/>
        <v>333.47499999999997</v>
      </c>
      <c r="J35" s="48">
        <f t="shared" si="3"/>
        <v>410.43076923076927</v>
      </c>
      <c r="K35" s="48">
        <f t="shared" si="4"/>
        <v>533.55999999999995</v>
      </c>
    </row>
    <row r="36" spans="2:11" ht="18.75" customHeight="1" x14ac:dyDescent="0.25">
      <c r="B36" s="42" t="s">
        <v>59</v>
      </c>
      <c r="C36" s="43">
        <v>1</v>
      </c>
      <c r="D36" s="44" t="s">
        <v>60</v>
      </c>
      <c r="E36" s="68">
        <v>109.44</v>
      </c>
      <c r="F36" s="46">
        <f>CEILING((Updated!F36*1.06),0.5)</f>
        <v>1310</v>
      </c>
      <c r="G36" s="46">
        <f t="shared" si="0"/>
        <v>484.7</v>
      </c>
      <c r="H36" s="47">
        <f t="shared" si="1"/>
        <v>0.77421085207344753</v>
      </c>
      <c r="I36" s="48">
        <f t="shared" si="2"/>
        <v>273.59999999999997</v>
      </c>
      <c r="J36" s="48">
        <f t="shared" si="3"/>
        <v>336.73846153846159</v>
      </c>
      <c r="K36" s="48">
        <f t="shared" si="4"/>
        <v>437.76</v>
      </c>
    </row>
    <row r="37" spans="2:11" ht="18.75" customHeight="1" x14ac:dyDescent="0.25">
      <c r="B37" s="42" t="s">
        <v>61</v>
      </c>
      <c r="C37" s="43">
        <v>1</v>
      </c>
      <c r="D37" s="44" t="s">
        <v>62</v>
      </c>
      <c r="E37" s="68">
        <v>133.38999999999999</v>
      </c>
      <c r="F37" s="46">
        <f>CEILING((Updated!F37*1.06),0.5)</f>
        <v>1556.5</v>
      </c>
      <c r="G37" s="46">
        <f t="shared" si="0"/>
        <v>575.90499999999997</v>
      </c>
      <c r="H37" s="47">
        <f t="shared" si="1"/>
        <v>0.76838193799324539</v>
      </c>
      <c r="I37" s="48">
        <f t="shared" si="2"/>
        <v>333.47499999999997</v>
      </c>
      <c r="J37" s="48">
        <f t="shared" si="3"/>
        <v>410.43076923076927</v>
      </c>
      <c r="K37" s="48">
        <f t="shared" si="4"/>
        <v>533.55999999999995</v>
      </c>
    </row>
    <row r="38" spans="2:11" ht="18.75" customHeight="1" x14ac:dyDescent="0.25">
      <c r="B38" s="42" t="s">
        <v>63</v>
      </c>
      <c r="C38" s="43">
        <v>1</v>
      </c>
      <c r="D38" s="44" t="s">
        <v>64</v>
      </c>
      <c r="E38" s="68">
        <v>103.42</v>
      </c>
      <c r="F38" s="46">
        <f>CEILING((Updated!F38*1.06),0.5)</f>
        <v>1310</v>
      </c>
      <c r="G38" s="46">
        <f t="shared" si="0"/>
        <v>484.7</v>
      </c>
      <c r="H38" s="47">
        <f t="shared" si="1"/>
        <v>0.78663090571487515</v>
      </c>
      <c r="I38" s="48">
        <f t="shared" si="2"/>
        <v>258.55</v>
      </c>
      <c r="J38" s="48">
        <f t="shared" si="3"/>
        <v>318.21538461538466</v>
      </c>
      <c r="K38" s="48">
        <f t="shared" si="4"/>
        <v>413.68</v>
      </c>
    </row>
    <row r="39" spans="2:11" ht="18.75" customHeight="1" x14ac:dyDescent="0.25">
      <c r="B39" s="42" t="s">
        <v>65</v>
      </c>
      <c r="C39" s="43">
        <v>1</v>
      </c>
      <c r="D39" s="44" t="s">
        <v>66</v>
      </c>
      <c r="E39" s="68">
        <v>135.51</v>
      </c>
      <c r="F39" s="46">
        <f>CEILING((Updated!F39*1.06),0.5)</f>
        <v>1556.5</v>
      </c>
      <c r="G39" s="46">
        <f t="shared" si="0"/>
        <v>575.90499999999997</v>
      </c>
      <c r="H39" s="47">
        <f t="shared" si="1"/>
        <v>0.76470077530148206</v>
      </c>
      <c r="I39" s="48">
        <f t="shared" si="2"/>
        <v>338.77499999999998</v>
      </c>
      <c r="J39" s="48">
        <f t="shared" si="3"/>
        <v>416.9538461538462</v>
      </c>
      <c r="K39" s="48">
        <f t="shared" si="4"/>
        <v>542.04</v>
      </c>
    </row>
    <row r="40" spans="2:11" ht="18.75" customHeight="1" x14ac:dyDescent="0.25">
      <c r="B40" s="42" t="s">
        <v>67</v>
      </c>
      <c r="C40" s="43">
        <v>1</v>
      </c>
      <c r="D40" s="44" t="s">
        <v>68</v>
      </c>
      <c r="E40" s="68">
        <v>103.42</v>
      </c>
      <c r="F40" s="46">
        <f>CEILING((Updated!F40*1.06),0.5)</f>
        <v>1310</v>
      </c>
      <c r="G40" s="46">
        <f t="shared" si="0"/>
        <v>484.7</v>
      </c>
      <c r="H40" s="47">
        <f t="shared" si="1"/>
        <v>0.78663090571487515</v>
      </c>
      <c r="I40" s="48">
        <f t="shared" si="2"/>
        <v>258.55</v>
      </c>
      <c r="J40" s="48">
        <f t="shared" si="3"/>
        <v>318.21538461538466</v>
      </c>
      <c r="K40" s="48">
        <f t="shared" si="4"/>
        <v>413.68</v>
      </c>
    </row>
    <row r="41" spans="2:11" ht="18.75" customHeight="1" x14ac:dyDescent="0.25">
      <c r="B41" s="42" t="s">
        <v>69</v>
      </c>
      <c r="C41" s="43">
        <v>1</v>
      </c>
      <c r="D41" s="44" t="s">
        <v>70</v>
      </c>
      <c r="E41" s="68">
        <v>135.51</v>
      </c>
      <c r="F41" s="46">
        <f>CEILING((Updated!F41*1.06),0.5)</f>
        <v>1556.5</v>
      </c>
      <c r="G41" s="46">
        <f t="shared" si="0"/>
        <v>575.90499999999997</v>
      </c>
      <c r="H41" s="47">
        <f t="shared" si="1"/>
        <v>0.76470077530148206</v>
      </c>
      <c r="I41" s="48">
        <f t="shared" si="2"/>
        <v>338.77499999999998</v>
      </c>
      <c r="J41" s="48">
        <f t="shared" si="3"/>
        <v>416.9538461538462</v>
      </c>
      <c r="K41" s="48">
        <f t="shared" si="4"/>
        <v>542.04</v>
      </c>
    </row>
    <row r="42" spans="2:11" ht="18.75" customHeight="1" x14ac:dyDescent="0.25">
      <c r="B42" s="42" t="s">
        <v>71</v>
      </c>
      <c r="C42" s="43">
        <v>1</v>
      </c>
      <c r="D42" s="44" t="s">
        <v>72</v>
      </c>
      <c r="E42" s="68">
        <v>103.42</v>
      </c>
      <c r="F42" s="46">
        <f>CEILING((Updated!F42*1.06),0.5)</f>
        <v>1310</v>
      </c>
      <c r="G42" s="46">
        <f t="shared" si="0"/>
        <v>484.7</v>
      </c>
      <c r="H42" s="47">
        <f t="shared" si="1"/>
        <v>0.78663090571487515</v>
      </c>
      <c r="I42" s="48">
        <f t="shared" si="2"/>
        <v>258.55</v>
      </c>
      <c r="J42" s="48">
        <f t="shared" si="3"/>
        <v>318.21538461538466</v>
      </c>
      <c r="K42" s="48">
        <f t="shared" si="4"/>
        <v>413.68</v>
      </c>
    </row>
    <row r="43" spans="2:11" ht="18.75" customHeight="1" x14ac:dyDescent="0.25">
      <c r="B43" s="69" t="s">
        <v>73</v>
      </c>
      <c r="C43" s="70">
        <v>1</v>
      </c>
      <c r="D43" s="49" t="s">
        <v>74</v>
      </c>
      <c r="E43" s="68">
        <v>135.51</v>
      </c>
      <c r="F43" s="46">
        <f>CEILING((Updated!F43*1.06),0.5)</f>
        <v>1556.5</v>
      </c>
      <c r="G43" s="46">
        <f t="shared" si="0"/>
        <v>575.90499999999997</v>
      </c>
      <c r="H43" s="47">
        <f t="shared" si="1"/>
        <v>0.76470077530148206</v>
      </c>
      <c r="I43" s="48">
        <f t="shared" si="2"/>
        <v>338.77499999999998</v>
      </c>
      <c r="J43" s="48">
        <f t="shared" si="3"/>
        <v>416.9538461538462</v>
      </c>
      <c r="K43" s="48">
        <f t="shared" si="4"/>
        <v>542.04</v>
      </c>
    </row>
    <row r="44" spans="2:11" ht="18.75" customHeight="1" x14ac:dyDescent="0.25">
      <c r="B44" s="42" t="s">
        <v>75</v>
      </c>
      <c r="C44" s="71">
        <v>1</v>
      </c>
      <c r="D44" s="44" t="s">
        <v>76</v>
      </c>
      <c r="E44" s="72">
        <v>114.8635</v>
      </c>
      <c r="F44" s="46">
        <f>CEILING((Updated!F44*1.06),0.5)</f>
        <v>1310</v>
      </c>
      <c r="G44" s="46">
        <f t="shared" si="0"/>
        <v>484.7</v>
      </c>
      <c r="H44" s="47">
        <f t="shared" si="1"/>
        <v>0.7630214565710749</v>
      </c>
      <c r="I44" s="48">
        <f t="shared" si="2"/>
        <v>287.15875</v>
      </c>
      <c r="J44" s="48">
        <f t="shared" si="3"/>
        <v>353.42615384615391</v>
      </c>
      <c r="K44" s="48">
        <f t="shared" si="4"/>
        <v>459.45400000000001</v>
      </c>
    </row>
    <row r="45" spans="2:11" ht="18.75" customHeight="1" x14ac:dyDescent="0.25">
      <c r="B45" s="69" t="s">
        <v>77</v>
      </c>
      <c r="C45" s="74">
        <v>1</v>
      </c>
      <c r="D45" s="49" t="s">
        <v>78</v>
      </c>
      <c r="E45" s="72">
        <v>148.80350000000001</v>
      </c>
      <c r="F45" s="46">
        <f>CEILING((Updated!F45*1.06),0.5)</f>
        <v>1556.5</v>
      </c>
      <c r="G45" s="46">
        <f t="shared" si="0"/>
        <v>575.90499999999997</v>
      </c>
      <c r="H45" s="47">
        <f t="shared" si="1"/>
        <v>0.74161797518687977</v>
      </c>
      <c r="I45" s="48">
        <f t="shared" si="2"/>
        <v>372.00875000000002</v>
      </c>
      <c r="J45" s="48">
        <f t="shared" si="3"/>
        <v>457.85692307692318</v>
      </c>
      <c r="K45" s="48">
        <f t="shared" si="4"/>
        <v>595.21400000000006</v>
      </c>
    </row>
    <row r="46" spans="2:11" ht="18.75" customHeight="1" x14ac:dyDescent="0.25">
      <c r="B46" s="42" t="s">
        <v>79</v>
      </c>
      <c r="C46" s="70">
        <v>1</v>
      </c>
      <c r="D46" s="44" t="s">
        <v>80</v>
      </c>
      <c r="E46" s="72">
        <v>114.8635</v>
      </c>
      <c r="F46" s="46">
        <f>CEILING((Updated!F46*1.06),0.5)</f>
        <v>1310</v>
      </c>
      <c r="G46" s="46">
        <f t="shared" si="0"/>
        <v>484.7</v>
      </c>
      <c r="H46" s="47">
        <f t="shared" si="1"/>
        <v>0.7630214565710749</v>
      </c>
      <c r="I46" s="48">
        <f t="shared" si="2"/>
        <v>287.15875</v>
      </c>
      <c r="J46" s="48">
        <f t="shared" si="3"/>
        <v>353.42615384615391</v>
      </c>
      <c r="K46" s="48">
        <f t="shared" si="4"/>
        <v>459.45400000000001</v>
      </c>
    </row>
    <row r="47" spans="2:11" ht="18.75" customHeight="1" x14ac:dyDescent="0.25">
      <c r="B47" s="69" t="s">
        <v>81</v>
      </c>
      <c r="C47" s="71">
        <v>1</v>
      </c>
      <c r="D47" s="49" t="s">
        <v>82</v>
      </c>
      <c r="E47" s="72">
        <v>148.80350000000001</v>
      </c>
      <c r="F47" s="46">
        <f>CEILING((Updated!F47*1.06),0.5)</f>
        <v>1556.5</v>
      </c>
      <c r="G47" s="46">
        <f t="shared" si="0"/>
        <v>575.90499999999997</v>
      </c>
      <c r="H47" s="47">
        <f t="shared" si="1"/>
        <v>0.74161797518687977</v>
      </c>
      <c r="I47" s="48">
        <f t="shared" si="2"/>
        <v>372.00875000000002</v>
      </c>
      <c r="J47" s="48">
        <f t="shared" si="3"/>
        <v>457.85692307692318</v>
      </c>
      <c r="K47" s="48">
        <f t="shared" si="4"/>
        <v>595.21400000000006</v>
      </c>
    </row>
    <row r="48" spans="2:11" ht="18.75" customHeight="1" x14ac:dyDescent="0.25">
      <c r="B48" s="42" t="s">
        <v>83</v>
      </c>
      <c r="C48" s="71">
        <v>1</v>
      </c>
      <c r="D48" s="44" t="s">
        <v>84</v>
      </c>
      <c r="E48" s="72">
        <v>114.8635</v>
      </c>
      <c r="F48" s="46">
        <f>CEILING((Updated!F48*1.06),0.5)</f>
        <v>1310</v>
      </c>
      <c r="G48" s="46">
        <f t="shared" si="0"/>
        <v>484.7</v>
      </c>
      <c r="H48" s="47">
        <f t="shared" si="1"/>
        <v>0.7630214565710749</v>
      </c>
      <c r="I48" s="48">
        <f t="shared" si="2"/>
        <v>287.15875</v>
      </c>
      <c r="J48" s="48">
        <f t="shared" si="3"/>
        <v>353.42615384615391</v>
      </c>
      <c r="K48" s="48">
        <f t="shared" si="4"/>
        <v>459.45400000000001</v>
      </c>
    </row>
    <row r="49" spans="2:11" ht="15.75" thickBot="1" x14ac:dyDescent="0.3">
      <c r="B49" s="69" t="s">
        <v>85</v>
      </c>
      <c r="C49" s="76">
        <v>1</v>
      </c>
      <c r="D49" s="49" t="s">
        <v>86</v>
      </c>
      <c r="E49" s="72">
        <v>148.80350000000001</v>
      </c>
      <c r="F49" s="46">
        <f>CEILING((Updated!F49*1.06),0.5)</f>
        <v>1556.5</v>
      </c>
      <c r="G49" s="46">
        <f t="shared" si="0"/>
        <v>575.90499999999997</v>
      </c>
      <c r="H49" s="47">
        <f t="shared" si="1"/>
        <v>0.74161797518687977</v>
      </c>
      <c r="I49" s="48">
        <f t="shared" si="2"/>
        <v>372.00875000000002</v>
      </c>
      <c r="J49" s="48">
        <f t="shared" si="3"/>
        <v>457.85692307692318</v>
      </c>
      <c r="K49" s="48">
        <f t="shared" si="4"/>
        <v>595.21400000000006</v>
      </c>
    </row>
    <row r="50" spans="2:11" ht="18.75" customHeight="1" thickBot="1" x14ac:dyDescent="0.3">
      <c r="B50" s="204"/>
      <c r="C50" s="204"/>
      <c r="D50" s="204"/>
      <c r="E50" s="204"/>
      <c r="F50" s="204"/>
      <c r="G50" s="204"/>
      <c r="H50" s="67"/>
      <c r="I50" s="48"/>
      <c r="J50" s="48"/>
      <c r="K50" s="48"/>
    </row>
    <row r="51" spans="2:11" ht="18.75" customHeight="1" thickBot="1" x14ac:dyDescent="0.3">
      <c r="B51" s="200" t="s">
        <v>87</v>
      </c>
      <c r="C51" s="200"/>
      <c r="D51" s="200"/>
      <c r="E51" s="200"/>
      <c r="F51" s="200"/>
      <c r="G51" s="200"/>
      <c r="H51" s="51"/>
      <c r="I51" s="48"/>
      <c r="J51" s="48"/>
      <c r="K51" s="48"/>
    </row>
    <row r="52" spans="2:11" ht="18.75" customHeight="1" x14ac:dyDescent="0.25">
      <c r="B52" s="42" t="s">
        <v>88</v>
      </c>
      <c r="C52" s="43">
        <v>0.1</v>
      </c>
      <c r="D52" s="52" t="s">
        <v>89</v>
      </c>
      <c r="E52" s="72">
        <v>4.26</v>
      </c>
      <c r="F52" s="46">
        <f>CEILING((Updated!F52*1.06),0.5)</f>
        <v>24</v>
      </c>
      <c r="G52" s="46">
        <f t="shared" ref="G52:G58" si="5">F52*$G$5</f>
        <v>8.879999999999999</v>
      </c>
      <c r="H52" s="47">
        <f t="shared" ref="H52:H58" si="6">((G52-E52)/G52)</f>
        <v>0.52027027027027029</v>
      </c>
      <c r="I52" s="48">
        <f t="shared" ref="I52:I58" si="7">(($E52/(1-I$9)))</f>
        <v>10.649999999999999</v>
      </c>
      <c r="J52" s="48">
        <f t="shared" ref="J52:J58" si="8">(($E52/(1-$J$9)))</f>
        <v>13.107692307692309</v>
      </c>
      <c r="K52" s="48">
        <f t="shared" ref="K52:K58" si="9">(($E52/(1-K$9)))</f>
        <v>17.04</v>
      </c>
    </row>
    <row r="53" spans="2:11" ht="18.75" customHeight="1" x14ac:dyDescent="0.25">
      <c r="B53" s="42" t="s">
        <v>90</v>
      </c>
      <c r="C53" s="43">
        <v>0.4</v>
      </c>
      <c r="D53" s="44" t="s">
        <v>91</v>
      </c>
      <c r="E53" s="72">
        <v>67.512699999999995</v>
      </c>
      <c r="F53" s="46">
        <f>CEILING((Updated!F53*1.06),0.5)</f>
        <v>397</v>
      </c>
      <c r="G53" s="46">
        <f t="shared" si="5"/>
        <v>146.88999999999999</v>
      </c>
      <c r="H53" s="47">
        <f t="shared" si="6"/>
        <v>0.54038600313159502</v>
      </c>
      <c r="I53" s="48">
        <f t="shared" si="7"/>
        <v>168.78174999999999</v>
      </c>
      <c r="J53" s="48">
        <f t="shared" si="8"/>
        <v>207.73138461538463</v>
      </c>
      <c r="K53" s="48">
        <f t="shared" si="9"/>
        <v>270.05079999999998</v>
      </c>
    </row>
    <row r="54" spans="2:11" ht="18.75" customHeight="1" x14ac:dyDescent="0.25">
      <c r="B54" s="42" t="s">
        <v>92</v>
      </c>
      <c r="C54" s="43">
        <v>0.4</v>
      </c>
      <c r="D54" s="44" t="s">
        <v>93</v>
      </c>
      <c r="E54" s="72">
        <v>76.17</v>
      </c>
      <c r="F54" s="46">
        <f>CEILING((Updated!F54*1.06),0.5)</f>
        <v>597</v>
      </c>
      <c r="G54" s="46">
        <f t="shared" si="5"/>
        <v>220.89</v>
      </c>
      <c r="H54" s="47">
        <f t="shared" si="6"/>
        <v>0.65516773054461486</v>
      </c>
      <c r="I54" s="48">
        <f t="shared" si="7"/>
        <v>190.42499999999998</v>
      </c>
      <c r="J54" s="48">
        <f t="shared" si="8"/>
        <v>234.3692307692308</v>
      </c>
      <c r="K54" s="48">
        <f t="shared" si="9"/>
        <v>304.68</v>
      </c>
    </row>
    <row r="55" spans="2:11" ht="18.75" customHeight="1" x14ac:dyDescent="0.25">
      <c r="B55" s="42" t="s">
        <v>94</v>
      </c>
      <c r="C55" s="43">
        <v>1</v>
      </c>
      <c r="D55" s="44" t="s">
        <v>95</v>
      </c>
      <c r="E55" s="72">
        <v>107.544</v>
      </c>
      <c r="F55" s="46">
        <f>CEILING((Updated!F55*1.06),0.5)</f>
        <v>694</v>
      </c>
      <c r="G55" s="46">
        <f t="shared" si="5"/>
        <v>256.77999999999997</v>
      </c>
      <c r="H55" s="47">
        <f t="shared" si="6"/>
        <v>0.58118233507282502</v>
      </c>
      <c r="I55" s="48">
        <f t="shared" si="7"/>
        <v>268.85999999999996</v>
      </c>
      <c r="J55" s="48">
        <f t="shared" si="8"/>
        <v>330.9046153846154</v>
      </c>
      <c r="K55" s="48">
        <f t="shared" si="9"/>
        <v>430.17599999999999</v>
      </c>
    </row>
    <row r="56" spans="2:11" ht="18.75" customHeight="1" x14ac:dyDescent="0.25">
      <c r="B56" s="42" t="s">
        <v>96</v>
      </c>
      <c r="C56" s="43">
        <v>0.1</v>
      </c>
      <c r="D56" s="44" t="s">
        <v>97</v>
      </c>
      <c r="E56" s="72">
        <v>1.1299999999999999</v>
      </c>
      <c r="F56" s="46">
        <f>CEILING((Updated!F56*1.06),0.5)</f>
        <v>9.5</v>
      </c>
      <c r="G56" s="46">
        <f t="shared" si="5"/>
        <v>3.5150000000000001</v>
      </c>
      <c r="H56" s="47">
        <f t="shared" si="6"/>
        <v>0.67852062588904694</v>
      </c>
      <c r="I56" s="48">
        <f t="shared" si="7"/>
        <v>2.8249999999999997</v>
      </c>
      <c r="J56" s="48">
        <f t="shared" si="8"/>
        <v>3.476923076923077</v>
      </c>
      <c r="K56" s="48">
        <f t="shared" si="9"/>
        <v>4.5199999999999996</v>
      </c>
    </row>
    <row r="57" spans="2:11" ht="18.75" customHeight="1" x14ac:dyDescent="0.25">
      <c r="B57" s="42" t="s">
        <v>98</v>
      </c>
      <c r="C57" s="43">
        <v>0.1</v>
      </c>
      <c r="D57" s="44" t="s">
        <v>99</v>
      </c>
      <c r="E57" s="72">
        <v>2.92</v>
      </c>
      <c r="F57" s="46">
        <f>CEILING((Updated!F57*1.06),0.5)</f>
        <v>24</v>
      </c>
      <c r="G57" s="46">
        <f t="shared" si="5"/>
        <v>8.879999999999999</v>
      </c>
      <c r="H57" s="47">
        <f t="shared" si="6"/>
        <v>0.67117117117117109</v>
      </c>
      <c r="I57" s="48">
        <f t="shared" si="7"/>
        <v>7.3</v>
      </c>
      <c r="J57" s="48">
        <f t="shared" si="8"/>
        <v>8.9846153846153864</v>
      </c>
      <c r="K57" s="48">
        <f t="shared" si="9"/>
        <v>11.68</v>
      </c>
    </row>
    <row r="58" spans="2:11" ht="18.75" customHeight="1" thickBot="1" x14ac:dyDescent="0.3">
      <c r="B58" s="42" t="s">
        <v>100</v>
      </c>
      <c r="C58" s="43">
        <v>0.1</v>
      </c>
      <c r="D58" s="44" t="s">
        <v>101</v>
      </c>
      <c r="E58" s="72">
        <v>2.19</v>
      </c>
      <c r="F58" s="46">
        <f>CEILING((Updated!F58*1.06),0.5)</f>
        <v>18.5</v>
      </c>
      <c r="G58" s="46">
        <f t="shared" si="5"/>
        <v>6.8449999999999998</v>
      </c>
      <c r="H58" s="47">
        <f t="shared" si="6"/>
        <v>0.68005843681519351</v>
      </c>
      <c r="I58" s="48">
        <f t="shared" si="7"/>
        <v>5.4749999999999996</v>
      </c>
      <c r="J58" s="48">
        <f t="shared" si="8"/>
        <v>6.7384615384615394</v>
      </c>
      <c r="K58" s="48">
        <f t="shared" si="9"/>
        <v>8.76</v>
      </c>
    </row>
    <row r="59" spans="2:11" ht="18.75" customHeight="1" thickBot="1" x14ac:dyDescent="0.3">
      <c r="B59" s="205"/>
      <c r="C59" s="205"/>
      <c r="D59" s="205"/>
      <c r="E59" s="205"/>
      <c r="F59" s="205"/>
      <c r="G59" s="205"/>
      <c r="H59" s="77"/>
      <c r="I59" s="48"/>
      <c r="J59" s="48"/>
      <c r="K59" s="48"/>
    </row>
    <row r="60" spans="2:11" ht="18.75" customHeight="1" thickBot="1" x14ac:dyDescent="0.3">
      <c r="B60" s="198" t="s">
        <v>102</v>
      </c>
      <c r="C60" s="198"/>
      <c r="D60" s="198"/>
      <c r="E60" s="198"/>
      <c r="F60" s="198"/>
      <c r="G60" s="198"/>
      <c r="H60" s="40"/>
      <c r="I60" s="48"/>
      <c r="J60" s="48"/>
      <c r="K60" s="48"/>
    </row>
    <row r="61" spans="2:11" ht="18.75" customHeight="1" thickBot="1" x14ac:dyDescent="0.3">
      <c r="B61" s="200" t="s">
        <v>103</v>
      </c>
      <c r="C61" s="200"/>
      <c r="D61" s="200"/>
      <c r="E61" s="200"/>
      <c r="F61" s="200"/>
      <c r="G61" s="200"/>
      <c r="H61" s="51"/>
      <c r="I61" s="48"/>
      <c r="J61" s="48"/>
      <c r="K61" s="48"/>
    </row>
    <row r="62" spans="2:11" ht="18.75" customHeight="1" x14ac:dyDescent="0.25">
      <c r="B62" s="206" t="s">
        <v>104</v>
      </c>
      <c r="C62" s="206"/>
      <c r="D62" s="206"/>
      <c r="E62" s="206"/>
      <c r="F62" s="206"/>
      <c r="G62" s="206"/>
      <c r="H62" s="78"/>
      <c r="I62" s="48"/>
      <c r="J62" s="48"/>
      <c r="K62" s="48"/>
    </row>
    <row r="63" spans="2:11" ht="18.75" customHeight="1" x14ac:dyDescent="0.25">
      <c r="B63" s="42" t="s">
        <v>105</v>
      </c>
      <c r="C63" s="43">
        <v>170</v>
      </c>
      <c r="D63" s="52" t="s">
        <v>106</v>
      </c>
      <c r="E63" s="45">
        <v>3997.8517700000002</v>
      </c>
      <c r="F63" s="46">
        <f>CEILING((Updated!F63*1.06),0.5)</f>
        <v>45814</v>
      </c>
      <c r="G63" s="80">
        <f>F63*$G$5</f>
        <v>16951.18</v>
      </c>
      <c r="H63" s="47">
        <f>((G63-E63)/G63)</f>
        <v>0.7641549573540013</v>
      </c>
      <c r="I63" s="48">
        <f>(($E63/(1-I$9)))</f>
        <v>9994.6294249999992</v>
      </c>
      <c r="J63" s="48">
        <f>(($E63/(1-$J$9)))</f>
        <v>12301.082369230771</v>
      </c>
      <c r="K63" s="48">
        <f>(($E63/(1-K$9)))</f>
        <v>15991.407080000001</v>
      </c>
    </row>
    <row r="64" spans="2:11" ht="18.75" customHeight="1" x14ac:dyDescent="0.25">
      <c r="B64" s="42" t="s">
        <v>107</v>
      </c>
      <c r="C64" s="43">
        <v>170</v>
      </c>
      <c r="D64" s="44" t="s">
        <v>108</v>
      </c>
      <c r="E64" s="55">
        <v>4014.89</v>
      </c>
      <c r="F64" s="46">
        <f>CEILING((Updated!F64*1.06),0.5)</f>
        <v>46009</v>
      </c>
      <c r="G64" s="80">
        <f>F64*$G$5</f>
        <v>17023.329999999998</v>
      </c>
      <c r="H64" s="47">
        <f>((G64-E64)/G64)</f>
        <v>0.76415366441230947</v>
      </c>
      <c r="I64" s="48">
        <f>(($E64/(1-I$9)))</f>
        <v>10037.224999999999</v>
      </c>
      <c r="J64" s="48">
        <f>(($E64/(1-$J$9)))</f>
        <v>12353.507692307694</v>
      </c>
      <c r="K64" s="48">
        <f>(($E64/(1-K$9)))</f>
        <v>16059.56</v>
      </c>
    </row>
    <row r="65" spans="2:11" ht="18.75" customHeight="1" x14ac:dyDescent="0.25">
      <c r="B65" s="207" t="s">
        <v>109</v>
      </c>
      <c r="C65" s="207"/>
      <c r="D65" s="207"/>
      <c r="E65" s="207"/>
      <c r="F65" s="207"/>
      <c r="G65" s="207"/>
      <c r="H65" s="47"/>
      <c r="I65" s="48"/>
      <c r="J65" s="48"/>
      <c r="K65" s="48"/>
    </row>
    <row r="66" spans="2:11" ht="18.75" customHeight="1" x14ac:dyDescent="0.25">
      <c r="B66" s="42" t="s">
        <v>110</v>
      </c>
      <c r="C66" s="43">
        <v>180</v>
      </c>
      <c r="D66" s="44" t="s">
        <v>111</v>
      </c>
      <c r="E66" s="45">
        <v>4207.9399999999996</v>
      </c>
      <c r="F66" s="46">
        <f>CEILING((Updated!F66*1.06),0.5)</f>
        <v>48221</v>
      </c>
      <c r="G66" s="46">
        <f>F66*$G$5</f>
        <v>17841.77</v>
      </c>
      <c r="H66" s="47">
        <f>((G66-E66)/G66)</f>
        <v>0.76415232345221362</v>
      </c>
      <c r="I66" s="48">
        <f>(($E66/(1-I$9)))</f>
        <v>10519.849999999999</v>
      </c>
      <c r="J66" s="48">
        <f>(($E66/(1-$J$9)))</f>
        <v>12947.507692307692</v>
      </c>
      <c r="K66" s="48">
        <f>(($E66/(1-K$9)))</f>
        <v>16831.759999999998</v>
      </c>
    </row>
    <row r="67" spans="2:11" ht="18.75" customHeight="1" thickBot="1" x14ac:dyDescent="0.3">
      <c r="B67" s="42" t="s">
        <v>112</v>
      </c>
      <c r="C67" s="43">
        <v>180</v>
      </c>
      <c r="D67" s="44" t="s">
        <v>113</v>
      </c>
      <c r="E67" s="45">
        <v>4208.4399999999996</v>
      </c>
      <c r="F67" s="46">
        <f>CEILING((Updated!F67*1.06),0.5)</f>
        <v>48227</v>
      </c>
      <c r="G67" s="46">
        <f>F67*$G$5</f>
        <v>17843.990000000002</v>
      </c>
      <c r="H67" s="47">
        <f>((G67-E67)/G67)</f>
        <v>0.7641536450087677</v>
      </c>
      <c r="I67" s="48">
        <f>(($E67/(1-I$9)))</f>
        <v>10521.099999999999</v>
      </c>
      <c r="J67" s="48">
        <f>(($E67/(1-$J$9)))</f>
        <v>12949.046153846155</v>
      </c>
      <c r="K67" s="48">
        <f>(($E67/(1-K$9)))</f>
        <v>16833.759999999998</v>
      </c>
    </row>
    <row r="68" spans="2:11" ht="18.75" customHeight="1" thickBot="1" x14ac:dyDescent="0.3">
      <c r="B68" s="208" t="s">
        <v>114</v>
      </c>
      <c r="C68" s="208"/>
      <c r="D68" s="208"/>
      <c r="E68" s="208"/>
      <c r="F68" s="208"/>
      <c r="G68" s="208"/>
      <c r="H68" s="81"/>
      <c r="I68" s="48"/>
      <c r="J68" s="48"/>
      <c r="K68" s="48"/>
    </row>
    <row r="69" spans="2:11" ht="18.75" customHeight="1" thickBot="1" x14ac:dyDescent="0.3">
      <c r="B69" s="209"/>
      <c r="C69" s="209"/>
      <c r="D69" s="209"/>
      <c r="E69" s="209"/>
      <c r="F69" s="209"/>
      <c r="G69" s="209"/>
      <c r="H69" s="82"/>
      <c r="I69" s="48"/>
      <c r="J69" s="48"/>
      <c r="K69" s="48"/>
    </row>
    <row r="70" spans="2:11" ht="18.75" customHeight="1" thickBot="1" x14ac:dyDescent="0.3">
      <c r="B70" s="199" t="s">
        <v>115</v>
      </c>
      <c r="C70" s="199"/>
      <c r="D70" s="199"/>
      <c r="E70" s="199"/>
      <c r="F70" s="199"/>
      <c r="G70" s="199"/>
      <c r="H70" s="41"/>
      <c r="I70" s="48"/>
      <c r="J70" s="48"/>
      <c r="K70" s="48"/>
    </row>
    <row r="71" spans="2:11" ht="18.75" customHeight="1" thickBot="1" x14ac:dyDescent="0.3">
      <c r="B71" s="210" t="s">
        <v>104</v>
      </c>
      <c r="C71" s="210"/>
      <c r="D71" s="210"/>
      <c r="E71" s="210"/>
      <c r="F71" s="210"/>
      <c r="G71" s="210"/>
      <c r="H71" s="78"/>
      <c r="I71" s="48"/>
      <c r="J71" s="48"/>
      <c r="K71" s="48"/>
    </row>
    <row r="72" spans="2:11" ht="18.75" customHeight="1" x14ac:dyDescent="0.25">
      <c r="B72" s="42" t="s">
        <v>116</v>
      </c>
      <c r="C72" s="43">
        <v>130</v>
      </c>
      <c r="D72" s="52" t="s">
        <v>117</v>
      </c>
      <c r="E72" s="45">
        <v>2813.51</v>
      </c>
      <c r="F72" s="46">
        <f>CEILING((Updated!F72*1.06),0.5)</f>
        <v>32241.5</v>
      </c>
      <c r="G72" s="46">
        <f>F72*$G$5</f>
        <v>11929.355</v>
      </c>
      <c r="H72" s="47">
        <f>((G72-E72)/G72)</f>
        <v>0.76415237873296582</v>
      </c>
      <c r="I72" s="48">
        <f>(($E72/(1-I$9)))</f>
        <v>7033.7750000000005</v>
      </c>
      <c r="J72" s="48">
        <f>(($E72/(1-$J$9)))</f>
        <v>8656.9538461538486</v>
      </c>
      <c r="K72" s="48">
        <f>(($E72/(1-K$9)))</f>
        <v>11254.04</v>
      </c>
    </row>
    <row r="73" spans="2:11" ht="18.75" customHeight="1" x14ac:dyDescent="0.25">
      <c r="B73" s="42" t="s">
        <v>118</v>
      </c>
      <c r="C73" s="43">
        <v>130</v>
      </c>
      <c r="D73" s="44" t="s">
        <v>119</v>
      </c>
      <c r="E73" s="45">
        <v>3016.09</v>
      </c>
      <c r="F73" s="46">
        <f>CEILING((Updated!F73*1.06),0.5)</f>
        <v>34563</v>
      </c>
      <c r="G73" s="46">
        <f>F73*$G$5</f>
        <v>12788.31</v>
      </c>
      <c r="H73" s="47">
        <f>((G73-E73)/G73)</f>
        <v>0.76415257371771561</v>
      </c>
      <c r="I73" s="48">
        <f>(($E73/(1-I$9)))</f>
        <v>7540.2250000000004</v>
      </c>
      <c r="J73" s="48">
        <f>(($E73/(1-$J$9)))</f>
        <v>9280.2769230769245</v>
      </c>
      <c r="K73" s="48">
        <f>(($E73/(1-K$9)))</f>
        <v>12064.36</v>
      </c>
    </row>
    <row r="74" spans="2:11" ht="18.75" customHeight="1" x14ac:dyDescent="0.25">
      <c r="B74" s="207" t="s">
        <v>109</v>
      </c>
      <c r="C74" s="207"/>
      <c r="D74" s="207"/>
      <c r="E74" s="207"/>
      <c r="F74" s="207"/>
      <c r="G74" s="207"/>
      <c r="H74" s="78"/>
      <c r="I74" s="48"/>
      <c r="J74" s="48"/>
      <c r="K74" s="48"/>
    </row>
    <row r="75" spans="2:11" ht="18.75" customHeight="1" x14ac:dyDescent="0.25">
      <c r="B75" s="42" t="s">
        <v>120</v>
      </c>
      <c r="C75" s="43">
        <v>140</v>
      </c>
      <c r="D75" s="44" t="s">
        <v>121</v>
      </c>
      <c r="E75" s="45">
        <v>3007.06</v>
      </c>
      <c r="F75" s="46">
        <f>CEILING((Updated!F75*1.06),0.5)</f>
        <v>34460</v>
      </c>
      <c r="G75" s="46">
        <f>F75*$G$5</f>
        <v>12750.2</v>
      </c>
      <c r="H75" s="47">
        <f>((G75-E75)/G75)</f>
        <v>0.76415585637872352</v>
      </c>
      <c r="I75" s="48">
        <f>(($E75/(1-I$9)))</f>
        <v>7517.65</v>
      </c>
      <c r="J75" s="48">
        <f>(($E75/(1-$J$9)))</f>
        <v>9252.4923076923096</v>
      </c>
      <c r="K75" s="48">
        <f>(($E75/(1-K$9)))</f>
        <v>12028.24</v>
      </c>
    </row>
    <row r="76" spans="2:11" ht="18.75" customHeight="1" x14ac:dyDescent="0.25">
      <c r="B76" s="42" t="s">
        <v>122</v>
      </c>
      <c r="C76" s="43">
        <v>140</v>
      </c>
      <c r="D76" s="44" t="s">
        <v>123</v>
      </c>
      <c r="E76" s="45">
        <v>3105.65</v>
      </c>
      <c r="F76" s="46">
        <f>CEILING((Updated!F76*1.06),0.5)</f>
        <v>35589.5</v>
      </c>
      <c r="G76" s="46">
        <f>F76*$G$5</f>
        <v>13168.115</v>
      </c>
      <c r="H76" s="47">
        <f>((G76-E76)/G76)</f>
        <v>0.76415379118423554</v>
      </c>
      <c r="I76" s="48">
        <f>(($E76/(1-I$9)))</f>
        <v>7764.125</v>
      </c>
      <c r="J76" s="48">
        <f>(($E76/(1-$J$9)))</f>
        <v>9555.8461538461561</v>
      </c>
      <c r="K76" s="48">
        <f>(($E76/(1-K$9)))</f>
        <v>12422.6</v>
      </c>
    </row>
    <row r="77" spans="2:11" ht="18.75" customHeight="1" thickBot="1" x14ac:dyDescent="0.3">
      <c r="B77" s="211" t="s">
        <v>124</v>
      </c>
      <c r="C77" s="211"/>
      <c r="D77" s="211"/>
      <c r="E77" s="211"/>
      <c r="F77" s="211"/>
      <c r="G77" s="211"/>
      <c r="H77" s="83"/>
      <c r="I77" s="48"/>
      <c r="J77" s="48"/>
      <c r="K77" s="48"/>
    </row>
    <row r="78" spans="2:11" ht="18.75" customHeight="1" thickBot="1" x14ac:dyDescent="0.3">
      <c r="B78" s="212"/>
      <c r="C78" s="212"/>
      <c r="D78" s="212"/>
      <c r="E78" s="212"/>
      <c r="F78" s="212"/>
      <c r="G78" s="212"/>
      <c r="H78" s="84"/>
      <c r="I78" s="48"/>
      <c r="J78" s="48"/>
      <c r="K78" s="48"/>
    </row>
    <row r="79" spans="2:11" ht="18.75" customHeight="1" thickBot="1" x14ac:dyDescent="0.3">
      <c r="B79" s="199" t="s">
        <v>125</v>
      </c>
      <c r="C79" s="199"/>
      <c r="D79" s="199"/>
      <c r="E79" s="199"/>
      <c r="F79" s="199"/>
      <c r="G79" s="199"/>
      <c r="H79" s="41"/>
      <c r="I79" s="48"/>
      <c r="J79" s="48"/>
      <c r="K79" s="48"/>
    </row>
    <row r="80" spans="2:11" ht="18.75" customHeight="1" x14ac:dyDescent="0.25">
      <c r="B80" s="206" t="s">
        <v>109</v>
      </c>
      <c r="C80" s="206"/>
      <c r="D80" s="206"/>
      <c r="E80" s="206"/>
      <c r="F80" s="206"/>
      <c r="G80" s="206"/>
      <c r="H80" s="78"/>
      <c r="I80" s="48"/>
      <c r="J80" s="48"/>
      <c r="K80" s="48"/>
    </row>
    <row r="81" spans="1:11" ht="18.75" customHeight="1" x14ac:dyDescent="0.25">
      <c r="B81" s="42" t="s">
        <v>126</v>
      </c>
      <c r="C81" s="43">
        <v>150</v>
      </c>
      <c r="D81" s="44" t="s">
        <v>456</v>
      </c>
      <c r="E81" s="45">
        <v>2114.9299999999998</v>
      </c>
      <c r="F81" s="46">
        <f>CEILING((Updated!F81*1.06),0.5)</f>
        <v>24236.5</v>
      </c>
      <c r="G81" s="46">
        <f>F81*$G$5</f>
        <v>8967.5049999999992</v>
      </c>
      <c r="H81" s="47">
        <f>((G81-E81)/G81)</f>
        <v>0.76415625081892891</v>
      </c>
      <c r="I81" s="48">
        <f>(($E81/(1-I$9)))</f>
        <v>5287.3249999999989</v>
      </c>
      <c r="J81" s="48">
        <f>(($E81/(1-$J$9)))</f>
        <v>6507.4769230769234</v>
      </c>
      <c r="K81" s="48">
        <f>(($E81/(1-K$9)))</f>
        <v>8459.7199999999993</v>
      </c>
    </row>
    <row r="82" spans="1:11" ht="18.75" customHeight="1" x14ac:dyDescent="0.25">
      <c r="B82" s="207" t="s">
        <v>127</v>
      </c>
      <c r="C82" s="207"/>
      <c r="D82" s="207"/>
      <c r="E82" s="207"/>
      <c r="F82" s="207"/>
      <c r="G82" s="207"/>
      <c r="H82" s="78"/>
      <c r="I82" s="48"/>
      <c r="J82" s="48"/>
      <c r="K82" s="48"/>
    </row>
    <row r="83" spans="1:11" ht="18.75" customHeight="1" thickBot="1" x14ac:dyDescent="0.3">
      <c r="B83" s="42" t="s">
        <v>128</v>
      </c>
      <c r="C83" s="43">
        <v>150</v>
      </c>
      <c r="D83" s="44" t="s">
        <v>129</v>
      </c>
      <c r="E83" s="45">
        <v>2433.5</v>
      </c>
      <c r="F83" s="46">
        <f>CEILING((Updated!F83*1.06),0.5)</f>
        <v>27887.5</v>
      </c>
      <c r="G83" s="46">
        <f>F83*$G$5</f>
        <v>10318.375</v>
      </c>
      <c r="H83" s="47">
        <f>((G83-E83)/G83)</f>
        <v>0.76415860055483542</v>
      </c>
      <c r="I83" s="48">
        <f>(($E83/(1-I$9)))</f>
        <v>6083.75</v>
      </c>
      <c r="J83" s="48">
        <f>(($E83/(1-$J$9)))</f>
        <v>7487.6923076923085</v>
      </c>
      <c r="K83" s="48">
        <f>(($E83/(1-K$9)))</f>
        <v>9734</v>
      </c>
    </row>
    <row r="84" spans="1:11" ht="18.75" customHeight="1" thickBot="1" x14ac:dyDescent="0.3">
      <c r="B84" s="200" t="s">
        <v>130</v>
      </c>
      <c r="C84" s="200"/>
      <c r="D84" s="200"/>
      <c r="E84" s="200"/>
      <c r="F84" s="200"/>
      <c r="G84" s="200"/>
      <c r="H84" s="51"/>
      <c r="I84" s="48"/>
      <c r="J84" s="48"/>
      <c r="K84" s="48"/>
    </row>
    <row r="85" spans="1:11" ht="18.75" customHeight="1" x14ac:dyDescent="0.25">
      <c r="B85" s="42" t="s">
        <v>131</v>
      </c>
      <c r="C85" s="43">
        <v>1</v>
      </c>
      <c r="D85" s="85" t="s">
        <v>132</v>
      </c>
      <c r="E85" s="68">
        <v>125.48</v>
      </c>
      <c r="F85" s="46">
        <f>CEILING((Updated!F85*1.06),0.5)</f>
        <v>1950.5</v>
      </c>
      <c r="G85" s="46">
        <f>F85*$G$5</f>
        <v>721.68499999999995</v>
      </c>
      <c r="H85" s="47">
        <f>((G85-E85)/G85)</f>
        <v>0.82612912835932573</v>
      </c>
      <c r="I85" s="48">
        <f>(($E85/(1-I$9)))</f>
        <v>313.7</v>
      </c>
      <c r="J85" s="48">
        <f>(($E85/(1-$J$9)))</f>
        <v>386.09230769230777</v>
      </c>
      <c r="K85" s="48">
        <f>(($E85/(1-K$9)))</f>
        <v>501.92</v>
      </c>
    </row>
    <row r="86" spans="1:11" ht="18.75" customHeight="1" thickBot="1" x14ac:dyDescent="0.3">
      <c r="B86" s="42" t="s">
        <v>133</v>
      </c>
      <c r="C86" s="43">
        <v>1</v>
      </c>
      <c r="D86" s="85" t="s">
        <v>134</v>
      </c>
      <c r="E86" s="68">
        <v>761.6</v>
      </c>
      <c r="F86" s="46">
        <f>CEILING((Updated!F86*1.06),0.5)</f>
        <v>4599</v>
      </c>
      <c r="G86" s="46">
        <f>F86*$G$5</f>
        <v>1701.6299999999999</v>
      </c>
      <c r="H86" s="47">
        <f>((G86-E86)/G86)</f>
        <v>0.55242914147023736</v>
      </c>
      <c r="I86" s="48">
        <f>(($E86/(1-I$9)))</f>
        <v>1904</v>
      </c>
      <c r="J86" s="48">
        <f>(($E86/(1-$J$9)))</f>
        <v>2343.3846153846157</v>
      </c>
      <c r="K86" s="48">
        <f>(($E86/(1-K$9)))</f>
        <v>3046.4</v>
      </c>
    </row>
    <row r="87" spans="1:11" ht="18.75" customHeight="1" thickBot="1" x14ac:dyDescent="0.3">
      <c r="B87" s="200"/>
      <c r="C87" s="200"/>
      <c r="D87" s="200"/>
      <c r="E87" s="200"/>
      <c r="F87" s="200"/>
      <c r="G87" s="200"/>
      <c r="H87" s="51"/>
      <c r="I87" s="48"/>
      <c r="J87" s="48"/>
      <c r="K87" s="48"/>
    </row>
    <row r="88" spans="1:11" ht="18.75" customHeight="1" thickBot="1" x14ac:dyDescent="0.3">
      <c r="B88" s="200" t="s">
        <v>135</v>
      </c>
      <c r="C88" s="200"/>
      <c r="D88" s="200"/>
      <c r="E88" s="200"/>
      <c r="F88" s="200"/>
      <c r="G88" s="200"/>
      <c r="H88" s="51"/>
      <c r="I88" s="48"/>
      <c r="J88" s="48"/>
      <c r="K88" s="48"/>
    </row>
    <row r="89" spans="1:11" ht="18.75" customHeight="1" x14ac:dyDescent="0.25">
      <c r="B89" s="42" t="s">
        <v>136</v>
      </c>
      <c r="C89" s="43">
        <v>0.1</v>
      </c>
      <c r="D89" s="85" t="s">
        <v>137</v>
      </c>
      <c r="E89" s="86">
        <v>5.23</v>
      </c>
      <c r="F89" s="46">
        <f>CEILING((Updated!F89*1.06),0.5)</f>
        <v>58.5</v>
      </c>
      <c r="G89" s="46">
        <f>F89*$G$5</f>
        <v>21.645</v>
      </c>
      <c r="H89" s="47">
        <f>((G89-E89)/G89)</f>
        <v>0.75837375837375831</v>
      </c>
      <c r="I89" s="48">
        <f>(($E89/(1-I$9)))</f>
        <v>13.075000000000001</v>
      </c>
      <c r="J89" s="48">
        <f>(($E89/(1-$J$9)))</f>
        <v>16.092307692307696</v>
      </c>
      <c r="K89" s="48">
        <f>(($E89/(1-K$9)))</f>
        <v>20.92</v>
      </c>
    </row>
    <row r="90" spans="1:11" ht="18.75" customHeight="1" x14ac:dyDescent="0.25">
      <c r="B90" s="42" t="s">
        <v>138</v>
      </c>
      <c r="C90" s="43">
        <v>0.1</v>
      </c>
      <c r="D90" s="85" t="s">
        <v>139</v>
      </c>
      <c r="E90" s="86">
        <v>5.23</v>
      </c>
      <c r="F90" s="46">
        <f>CEILING((Updated!F90*1.06),0.5)</f>
        <v>58.5</v>
      </c>
      <c r="G90" s="46">
        <f>F90*$G$5</f>
        <v>21.645</v>
      </c>
      <c r="H90" s="47">
        <f>((G90-E90)/G90)</f>
        <v>0.75837375837375831</v>
      </c>
      <c r="I90" s="48">
        <f>(($E90/(1-I$9)))</f>
        <v>13.075000000000001</v>
      </c>
      <c r="J90" s="48">
        <f>(($E90/(1-$J$9)))</f>
        <v>16.092307692307696</v>
      </c>
      <c r="K90" s="48">
        <f>(($E90/(1-K$9)))</f>
        <v>20.92</v>
      </c>
    </row>
    <row r="91" spans="1:11" ht="18.75" customHeight="1" x14ac:dyDescent="0.25">
      <c r="B91" s="42" t="s">
        <v>140</v>
      </c>
      <c r="C91" s="43">
        <v>0.1</v>
      </c>
      <c r="D91" s="85" t="s">
        <v>141</v>
      </c>
      <c r="E91" s="86">
        <v>5.23</v>
      </c>
      <c r="F91" s="46">
        <f>CEILING((Updated!F91*1.06),0.5)</f>
        <v>58.5</v>
      </c>
      <c r="G91" s="46">
        <f>F91*$G$5</f>
        <v>21.645</v>
      </c>
      <c r="H91" s="47">
        <f>((G91-E91)/G91)</f>
        <v>0.75837375837375831</v>
      </c>
      <c r="I91" s="48">
        <f>(($E91/(1-I$9)))</f>
        <v>13.075000000000001</v>
      </c>
      <c r="J91" s="48">
        <f>(($E91/(1-$J$9)))</f>
        <v>16.092307692307696</v>
      </c>
      <c r="K91" s="48">
        <f>(($E91/(1-K$9)))</f>
        <v>20.92</v>
      </c>
    </row>
    <row r="92" spans="1:11" ht="18.75" customHeight="1" x14ac:dyDescent="0.25">
      <c r="A92" t="s">
        <v>142</v>
      </c>
      <c r="B92" s="87" t="s">
        <v>143</v>
      </c>
      <c r="C92" s="88">
        <v>0.1</v>
      </c>
      <c r="D92" s="89" t="s">
        <v>144</v>
      </c>
      <c r="E92" s="86">
        <v>6.42</v>
      </c>
      <c r="F92" s="46">
        <f>CEILING((Updated!F92*1.06),0.5)</f>
        <v>58.5</v>
      </c>
      <c r="G92" s="90">
        <f>F92*$G$5</f>
        <v>21.645</v>
      </c>
      <c r="H92" s="47">
        <f>((G92-E92)/G92)</f>
        <v>0.70339570339570334</v>
      </c>
      <c r="I92" s="48">
        <f>(($E92/(1-I$9)))</f>
        <v>16.049999999999997</v>
      </c>
      <c r="J92" s="48">
        <f>(($E92/(1-$J$9)))</f>
        <v>19.753846153846155</v>
      </c>
      <c r="K92" s="48">
        <f>(($E92/(1-K$9)))</f>
        <v>25.68</v>
      </c>
    </row>
    <row r="93" spans="1:11" ht="18.75" customHeight="1" thickBot="1" x14ac:dyDescent="0.3">
      <c r="B93" s="42" t="s">
        <v>145</v>
      </c>
      <c r="C93" s="43">
        <v>0.1</v>
      </c>
      <c r="D93" s="85" t="s">
        <v>146</v>
      </c>
      <c r="E93" s="86">
        <v>6.42</v>
      </c>
      <c r="F93" s="46">
        <f>CEILING((Updated!F93*1.06),0.5)</f>
        <v>58.5</v>
      </c>
      <c r="G93" s="46">
        <f>F93*$G$5</f>
        <v>21.645</v>
      </c>
      <c r="H93" s="47">
        <f>((G93-E93)/G93)</f>
        <v>0.70339570339570334</v>
      </c>
      <c r="I93" s="48">
        <f>(($E93/(1-I$9)))</f>
        <v>16.049999999999997</v>
      </c>
      <c r="J93" s="48">
        <f>(($E93/(1-$J$9)))</f>
        <v>19.753846153846155</v>
      </c>
      <c r="K93" s="48">
        <f>(($E93/(1-K$9)))</f>
        <v>25.68</v>
      </c>
    </row>
    <row r="94" spans="1:11" ht="18.75" customHeight="1" thickBot="1" x14ac:dyDescent="0.3">
      <c r="B94" s="213" t="s">
        <v>147</v>
      </c>
      <c r="C94" s="213"/>
      <c r="D94" s="213"/>
      <c r="E94" s="213"/>
      <c r="F94" s="213"/>
      <c r="G94" s="213"/>
      <c r="H94" s="51"/>
      <c r="I94" s="48"/>
      <c r="J94" s="48"/>
      <c r="K94" s="48"/>
    </row>
    <row r="95" spans="1:11" ht="19.7" customHeight="1" thickBot="1" x14ac:dyDescent="0.3">
      <c r="B95" s="214" t="s">
        <v>148</v>
      </c>
      <c r="C95" s="214"/>
      <c r="D95" s="214"/>
      <c r="E95" s="214"/>
      <c r="F95" s="214"/>
      <c r="G95" s="214"/>
      <c r="H95" s="91"/>
      <c r="I95" s="48"/>
      <c r="J95" s="48"/>
      <c r="K95" s="48"/>
    </row>
    <row r="96" spans="1:11" ht="18.75" customHeight="1" thickBot="1" x14ac:dyDescent="0.3">
      <c r="B96" s="200" t="s">
        <v>149</v>
      </c>
      <c r="C96" s="200"/>
      <c r="D96" s="200"/>
      <c r="E96" s="200"/>
      <c r="F96" s="200"/>
      <c r="G96" s="200"/>
      <c r="H96" s="51"/>
      <c r="I96" s="48"/>
      <c r="J96" s="48"/>
      <c r="K96" s="48"/>
    </row>
    <row r="97" spans="1:11" ht="18.75" customHeight="1" x14ac:dyDescent="0.25">
      <c r="B97" s="42" t="s">
        <v>150</v>
      </c>
      <c r="C97" s="43">
        <v>12</v>
      </c>
      <c r="D97" s="52" t="s">
        <v>151</v>
      </c>
      <c r="E97" s="68">
        <v>288.17</v>
      </c>
      <c r="F97" s="46">
        <f>CEILING((Updated!F97*1.06),0.5)</f>
        <v>6529</v>
      </c>
      <c r="G97" s="46">
        <f>F97*$G$5</f>
        <v>2415.73</v>
      </c>
      <c r="H97" s="47">
        <f>((G97-E97)/G97)</f>
        <v>0.88071100661083812</v>
      </c>
      <c r="I97" s="48">
        <f>(($E97/(1-I$9)))</f>
        <v>720.42499999999995</v>
      </c>
      <c r="J97" s="48">
        <f>(($E97/(1-$J$9)))</f>
        <v>886.67692307692323</v>
      </c>
      <c r="K97" s="48">
        <f>(($E97/(1-K$9)))</f>
        <v>1152.68</v>
      </c>
    </row>
    <row r="98" spans="1:11" ht="18.75" customHeight="1" thickBot="1" x14ac:dyDescent="0.3">
      <c r="B98" s="42" t="s">
        <v>152</v>
      </c>
      <c r="C98" s="43">
        <v>12</v>
      </c>
      <c r="D98" s="49" t="s">
        <v>153</v>
      </c>
      <c r="E98" s="92">
        <v>369.04</v>
      </c>
      <c r="F98" s="46">
        <f>CEILING((Updated!F98*1.06),0.5)</f>
        <v>6728.5</v>
      </c>
      <c r="G98" s="46">
        <f>F98*$G$5</f>
        <v>2489.5450000000001</v>
      </c>
      <c r="H98" s="47">
        <f>((G98-E98)/G98)</f>
        <v>0.8517640773715679</v>
      </c>
      <c r="I98" s="48">
        <f>(($E98/(1-I$9)))</f>
        <v>922.6</v>
      </c>
      <c r="J98" s="48">
        <f>(($E98/(1-$J$9)))</f>
        <v>1135.5076923076924</v>
      </c>
      <c r="K98" s="48">
        <f>(($E98/(1-K$9)))</f>
        <v>1476.16</v>
      </c>
    </row>
    <row r="99" spans="1:11" ht="18.75" customHeight="1" thickBot="1" x14ac:dyDescent="0.3">
      <c r="B99" s="205"/>
      <c r="C99" s="205"/>
      <c r="D99" s="205"/>
      <c r="E99" s="205"/>
      <c r="F99" s="205"/>
      <c r="G99" s="205"/>
      <c r="H99" s="77"/>
      <c r="I99" s="48"/>
      <c r="J99" s="48"/>
      <c r="K99" s="48"/>
    </row>
    <row r="100" spans="1:11" ht="18.75" customHeight="1" thickBot="1" x14ac:dyDescent="0.3">
      <c r="B100" s="200" t="s">
        <v>154</v>
      </c>
      <c r="C100" s="200"/>
      <c r="D100" s="200"/>
      <c r="E100" s="200"/>
      <c r="F100" s="200"/>
      <c r="G100" s="200"/>
      <c r="H100" s="51"/>
      <c r="I100" s="48"/>
      <c r="J100" s="48"/>
      <c r="K100" s="48"/>
    </row>
    <row r="101" spans="1:11" ht="18.75" customHeight="1" x14ac:dyDescent="0.25">
      <c r="B101" s="42" t="s">
        <v>155</v>
      </c>
      <c r="C101" s="43">
        <v>320</v>
      </c>
      <c r="D101" s="52" t="s">
        <v>156</v>
      </c>
      <c r="E101" s="45">
        <v>851.09</v>
      </c>
      <c r="F101" s="46">
        <f>CEILING((Updated!F101*1.06),0.5)</f>
        <v>6096.5</v>
      </c>
      <c r="G101" s="46">
        <f>F101*$G$5</f>
        <v>2255.7049999999999</v>
      </c>
      <c r="H101" s="47">
        <f>((G101-E101)/G101)</f>
        <v>0.62269445694361625</v>
      </c>
      <c r="I101" s="48">
        <f>(($E101/(1-I$9)))</f>
        <v>2127.7249999999999</v>
      </c>
      <c r="J101" s="48">
        <f>(($E101/(1-$J$9)))</f>
        <v>2618.7384615384622</v>
      </c>
      <c r="K101" s="48">
        <f>(($E101/(1-K$9)))</f>
        <v>3404.36</v>
      </c>
    </row>
    <row r="102" spans="1:11" ht="18.75" customHeight="1" thickBot="1" x14ac:dyDescent="0.3">
      <c r="B102" s="42" t="s">
        <v>157</v>
      </c>
      <c r="C102" s="43">
        <v>134</v>
      </c>
      <c r="D102" s="52" t="s">
        <v>158</v>
      </c>
      <c r="E102" s="45">
        <v>341.67</v>
      </c>
      <c r="F102" s="46">
        <f>CEILING((Updated!F102*1.06),0.5)</f>
        <v>2447.5</v>
      </c>
      <c r="G102" s="46">
        <f>F102*$G$5</f>
        <v>905.57500000000005</v>
      </c>
      <c r="H102" s="47">
        <f>((G102-E102)/G102)</f>
        <v>0.62270380697346983</v>
      </c>
      <c r="I102" s="48">
        <f>(($E102/(1-I$9)))</f>
        <v>854.17499999999995</v>
      </c>
      <c r="J102" s="48">
        <f>(($E102/(1-$J$9)))</f>
        <v>1051.292307692308</v>
      </c>
      <c r="K102" s="48">
        <f>(($E102/(1-K$9)))</f>
        <v>1366.68</v>
      </c>
    </row>
    <row r="103" spans="1:11" ht="18.75" customHeight="1" thickBot="1" x14ac:dyDescent="0.3">
      <c r="B103" s="205"/>
      <c r="C103" s="205"/>
      <c r="D103" s="205"/>
      <c r="E103" s="205"/>
      <c r="F103" s="205"/>
      <c r="G103" s="205"/>
      <c r="H103" s="77"/>
      <c r="I103" s="48"/>
      <c r="J103" s="48"/>
      <c r="K103" s="48"/>
    </row>
    <row r="104" spans="1:11" ht="18.75" customHeight="1" thickBot="1" x14ac:dyDescent="0.3">
      <c r="B104" s="200" t="s">
        <v>161</v>
      </c>
      <c r="C104" s="200"/>
      <c r="D104" s="200"/>
      <c r="E104" s="200"/>
      <c r="F104" s="200"/>
      <c r="G104" s="200"/>
      <c r="H104" s="51"/>
      <c r="I104" s="48"/>
      <c r="J104" s="48"/>
      <c r="K104" s="48"/>
    </row>
    <row r="105" spans="1:11" ht="18.75" customHeight="1" x14ac:dyDescent="0.25">
      <c r="B105" s="42" t="s">
        <v>162</v>
      </c>
      <c r="C105" s="43">
        <v>5</v>
      </c>
      <c r="D105" s="44" t="s">
        <v>163</v>
      </c>
      <c r="E105" s="45">
        <v>551.34259999999995</v>
      </c>
      <c r="F105" s="46">
        <f>CEILING((Updated!F107*1.06),0.5)</f>
        <v>6775</v>
      </c>
      <c r="G105" s="46">
        <f t="shared" ref="G105:G114" si="10">F105*$G$5</f>
        <v>2506.75</v>
      </c>
      <c r="H105" s="47">
        <f t="shared" ref="H105:H114" si="11">((G105-E105)/G105)</f>
        <v>0.78005680662212029</v>
      </c>
      <c r="I105" s="48">
        <f t="shared" ref="I105:I114" si="12">(($E105/(1-I$9)))</f>
        <v>1378.3564999999999</v>
      </c>
      <c r="J105" s="48">
        <f t="shared" ref="J105:J114" si="13">(($E105/(1-$J$9)))</f>
        <v>1696.4387692307694</v>
      </c>
      <c r="K105" s="48">
        <f t="shared" ref="K105:K114" si="14">(($E105/(1-K$9)))</f>
        <v>2205.3703999999998</v>
      </c>
    </row>
    <row r="106" spans="1:11" ht="18.75" customHeight="1" x14ac:dyDescent="0.25">
      <c r="B106" s="42" t="s">
        <v>164</v>
      </c>
      <c r="C106" s="43">
        <v>2</v>
      </c>
      <c r="D106" s="44" t="s">
        <v>165</v>
      </c>
      <c r="E106" s="45">
        <v>130.0367</v>
      </c>
      <c r="F106" s="46">
        <f>CEILING((Updated!F108*1.06),0.5)</f>
        <v>1604</v>
      </c>
      <c r="G106" s="46">
        <f t="shared" si="10"/>
        <v>593.48</v>
      </c>
      <c r="H106" s="47">
        <f t="shared" si="11"/>
        <v>0.78089118420165804</v>
      </c>
      <c r="I106" s="48">
        <f t="shared" si="12"/>
        <v>325.09174999999999</v>
      </c>
      <c r="J106" s="48">
        <f t="shared" si="13"/>
        <v>400.1129230769231</v>
      </c>
      <c r="K106" s="48">
        <f t="shared" si="14"/>
        <v>520.14679999999998</v>
      </c>
    </row>
    <row r="107" spans="1:11" ht="18.75" customHeight="1" x14ac:dyDescent="0.25">
      <c r="B107" s="42" t="s">
        <v>166</v>
      </c>
      <c r="C107" s="43">
        <v>2</v>
      </c>
      <c r="D107" s="52" t="s">
        <v>167</v>
      </c>
      <c r="E107" s="45">
        <v>136.3425</v>
      </c>
      <c r="F107" s="46">
        <f>CEILING((Updated!F109*1.06),0.5)</f>
        <v>2497</v>
      </c>
      <c r="G107" s="46">
        <f t="shared" si="10"/>
        <v>923.89</v>
      </c>
      <c r="H107" s="47">
        <f t="shared" si="11"/>
        <v>0.85242561343882928</v>
      </c>
      <c r="I107" s="48">
        <f t="shared" si="12"/>
        <v>340.85624999999999</v>
      </c>
      <c r="J107" s="48">
        <f t="shared" si="13"/>
        <v>419.51538461538468</v>
      </c>
      <c r="K107" s="48">
        <f t="shared" si="14"/>
        <v>545.37</v>
      </c>
    </row>
    <row r="108" spans="1:11" ht="18.75" customHeight="1" x14ac:dyDescent="0.25">
      <c r="A108" t="s">
        <v>142</v>
      </c>
      <c r="B108" s="87" t="s">
        <v>168</v>
      </c>
      <c r="C108" s="88">
        <v>5</v>
      </c>
      <c r="D108" s="93" t="s">
        <v>169</v>
      </c>
      <c r="E108" s="45">
        <v>550.49</v>
      </c>
      <c r="F108" s="46">
        <f>CEILING((Updated!F110*1.06),0.5)</f>
        <v>3154.5</v>
      </c>
      <c r="G108" s="46">
        <f t="shared" si="10"/>
        <v>1167.165</v>
      </c>
      <c r="H108" s="47">
        <f t="shared" si="11"/>
        <v>0.52835288926587065</v>
      </c>
      <c r="I108" s="48">
        <f t="shared" si="12"/>
        <v>1376.2249999999999</v>
      </c>
      <c r="J108" s="48">
        <f t="shared" si="13"/>
        <v>1693.8153846153848</v>
      </c>
      <c r="K108" s="48">
        <f t="shared" si="14"/>
        <v>2201.96</v>
      </c>
    </row>
    <row r="109" spans="1:11" ht="18.75" customHeight="1" x14ac:dyDescent="0.25">
      <c r="A109" t="s">
        <v>142</v>
      </c>
      <c r="B109" s="87" t="s">
        <v>170</v>
      </c>
      <c r="C109" s="88">
        <v>2</v>
      </c>
      <c r="D109" s="93" t="s">
        <v>171</v>
      </c>
      <c r="E109" s="45">
        <v>133.22</v>
      </c>
      <c r="F109" s="46">
        <f>CEILING((Updated!F111*1.06),0.5)</f>
        <v>763.5</v>
      </c>
      <c r="G109" s="46">
        <f t="shared" si="10"/>
        <v>282.495</v>
      </c>
      <c r="H109" s="47">
        <f t="shared" si="11"/>
        <v>0.52841643214924161</v>
      </c>
      <c r="I109" s="48">
        <f t="shared" si="12"/>
        <v>333.04999999999995</v>
      </c>
      <c r="J109" s="48">
        <f t="shared" si="13"/>
        <v>409.90769230769234</v>
      </c>
      <c r="K109" s="48">
        <f t="shared" si="14"/>
        <v>532.88</v>
      </c>
    </row>
    <row r="110" spans="1:11" ht="18.75" customHeight="1" x14ac:dyDescent="0.25">
      <c r="B110" s="42" t="s">
        <v>172</v>
      </c>
      <c r="C110" s="43">
        <v>1</v>
      </c>
      <c r="D110" s="44" t="s">
        <v>173</v>
      </c>
      <c r="E110" s="45">
        <v>8.3373000000000008</v>
      </c>
      <c r="F110" s="46">
        <f>CEILING((Updated!F112*1.06),0.5)</f>
        <v>158.5</v>
      </c>
      <c r="G110" s="46">
        <f t="shared" si="10"/>
        <v>58.644999999999996</v>
      </c>
      <c r="H110" s="47">
        <f t="shared" si="11"/>
        <v>0.85783442748742433</v>
      </c>
      <c r="I110" s="48">
        <f t="shared" si="12"/>
        <v>20.843250000000001</v>
      </c>
      <c r="J110" s="48">
        <f t="shared" si="13"/>
        <v>25.653230769230774</v>
      </c>
      <c r="K110" s="48">
        <f t="shared" si="14"/>
        <v>33.349200000000003</v>
      </c>
    </row>
    <row r="111" spans="1:11" ht="18.75" customHeight="1" x14ac:dyDescent="0.25">
      <c r="B111" s="42" t="s">
        <v>174</v>
      </c>
      <c r="C111" s="43">
        <v>1</v>
      </c>
      <c r="D111" s="44" t="s">
        <v>175</v>
      </c>
      <c r="E111" s="45">
        <v>6.9394999999999998</v>
      </c>
      <c r="F111" s="46">
        <f>CEILING((Updated!F113*1.06),0.5)</f>
        <v>134.5</v>
      </c>
      <c r="G111" s="46">
        <f t="shared" si="10"/>
        <v>49.765000000000001</v>
      </c>
      <c r="H111" s="47">
        <f t="shared" si="11"/>
        <v>0.86055460665126093</v>
      </c>
      <c r="I111" s="48">
        <f t="shared" si="12"/>
        <v>17.348749999999999</v>
      </c>
      <c r="J111" s="48">
        <f t="shared" si="13"/>
        <v>21.352307692307694</v>
      </c>
      <c r="K111" s="48">
        <f t="shared" si="14"/>
        <v>27.757999999999999</v>
      </c>
    </row>
    <row r="112" spans="1:11" ht="18.75" customHeight="1" x14ac:dyDescent="0.25">
      <c r="B112" s="42" t="s">
        <v>176</v>
      </c>
      <c r="C112" s="43">
        <v>1</v>
      </c>
      <c r="D112" s="44" t="s">
        <v>177</v>
      </c>
      <c r="E112" s="45">
        <v>48.146799999999999</v>
      </c>
      <c r="F112" s="46">
        <f>CEILING((Updated!F114*1.06),0.5)</f>
        <v>802.5</v>
      </c>
      <c r="G112" s="46">
        <f t="shared" si="10"/>
        <v>296.92500000000001</v>
      </c>
      <c r="H112" s="47">
        <f t="shared" si="11"/>
        <v>0.83784861497011032</v>
      </c>
      <c r="I112" s="48">
        <f t="shared" si="12"/>
        <v>120.36699999999999</v>
      </c>
      <c r="J112" s="48">
        <f t="shared" si="13"/>
        <v>148.14400000000001</v>
      </c>
      <c r="K112" s="48">
        <f t="shared" si="14"/>
        <v>192.5872</v>
      </c>
    </row>
    <row r="113" spans="2:11" ht="18.75" customHeight="1" x14ac:dyDescent="0.25">
      <c r="B113" s="42" t="s">
        <v>178</v>
      </c>
      <c r="C113" s="43">
        <v>1</v>
      </c>
      <c r="D113" s="52" t="s">
        <v>179</v>
      </c>
      <c r="E113" s="45">
        <v>89.886799999999994</v>
      </c>
      <c r="F113" s="46">
        <f>CEILING((Updated!F115*1.06),0.5)</f>
        <v>802.5</v>
      </c>
      <c r="G113" s="46">
        <f t="shared" si="10"/>
        <v>296.92500000000001</v>
      </c>
      <c r="H113" s="47">
        <f t="shared" si="11"/>
        <v>0.69727439589121831</v>
      </c>
      <c r="I113" s="48">
        <f t="shared" si="12"/>
        <v>224.71699999999998</v>
      </c>
      <c r="J113" s="48">
        <f t="shared" si="13"/>
        <v>276.57476923076928</v>
      </c>
      <c r="K113" s="48">
        <f t="shared" si="14"/>
        <v>359.54719999999998</v>
      </c>
    </row>
    <row r="114" spans="2:11" ht="18.75" customHeight="1" thickBot="1" x14ac:dyDescent="0.3">
      <c r="B114" s="42" t="s">
        <v>180</v>
      </c>
      <c r="C114" s="43">
        <v>20</v>
      </c>
      <c r="D114" s="49" t="s">
        <v>181</v>
      </c>
      <c r="E114" s="50">
        <v>768.69</v>
      </c>
      <c r="F114" s="46">
        <f>CEILING((Updated!F116*1.06),0.5)</f>
        <v>6846.5</v>
      </c>
      <c r="G114" s="46">
        <f t="shared" si="10"/>
        <v>2533.2049999999999</v>
      </c>
      <c r="H114" s="47">
        <f t="shared" si="11"/>
        <v>0.69655436492506528</v>
      </c>
      <c r="I114" s="48">
        <f t="shared" si="12"/>
        <v>1921.7250000000001</v>
      </c>
      <c r="J114" s="48">
        <f t="shared" si="13"/>
        <v>2365.2000000000003</v>
      </c>
      <c r="K114" s="48">
        <f t="shared" si="14"/>
        <v>3074.76</v>
      </c>
    </row>
    <row r="115" spans="2:11" ht="18.75" customHeight="1" thickBot="1" x14ac:dyDescent="0.3">
      <c r="B115" s="205"/>
      <c r="C115" s="205"/>
      <c r="D115" s="205"/>
      <c r="E115" s="205"/>
      <c r="F115" s="205"/>
      <c r="G115" s="205"/>
      <c r="H115" s="77"/>
      <c r="I115" s="48"/>
      <c r="J115" s="48"/>
      <c r="K115" s="48"/>
    </row>
    <row r="116" spans="2:11" ht="18.75" customHeight="1" thickBot="1" x14ac:dyDescent="0.3">
      <c r="B116" s="200" t="s">
        <v>182</v>
      </c>
      <c r="C116" s="200"/>
      <c r="D116" s="200"/>
      <c r="E116" s="200"/>
      <c r="F116" s="200"/>
      <c r="G116" s="200"/>
      <c r="H116" s="51"/>
      <c r="I116" s="48"/>
      <c r="J116" s="48"/>
      <c r="K116" s="48"/>
    </row>
    <row r="117" spans="2:11" ht="18.75" customHeight="1" x14ac:dyDescent="0.25">
      <c r="B117" s="42" t="s">
        <v>183</v>
      </c>
      <c r="C117" s="95"/>
      <c r="D117" s="96"/>
      <c r="E117" s="97"/>
      <c r="F117" s="98" t="s">
        <v>184</v>
      </c>
      <c r="G117" s="46"/>
      <c r="H117" s="99"/>
      <c r="I117" s="48">
        <f>(($E117/(1-I$9)))</f>
        <v>0</v>
      </c>
      <c r="J117" s="48">
        <f>(($E117/(1-$J$9)))</f>
        <v>0</v>
      </c>
      <c r="K117" s="48">
        <f>(($E117/(1-K$9)))</f>
        <v>0</v>
      </c>
    </row>
    <row r="118" spans="2:11" ht="18.75" customHeight="1" x14ac:dyDescent="0.25">
      <c r="B118" s="42" t="s">
        <v>185</v>
      </c>
      <c r="C118" s="100"/>
      <c r="D118" s="49"/>
      <c r="E118" s="101"/>
      <c r="F118" s="98" t="s">
        <v>184</v>
      </c>
      <c r="G118" s="46"/>
      <c r="H118" s="99"/>
      <c r="I118" s="48">
        <f>(($E118/(1-I$9)))</f>
        <v>0</v>
      </c>
      <c r="J118" s="48">
        <f>(($E118/(1-$J$9)))</f>
        <v>0</v>
      </c>
      <c r="K118" s="48">
        <f>(($E118/(1-K$9)))</f>
        <v>0</v>
      </c>
    </row>
    <row r="119" spans="2:11" ht="18.75" customHeight="1" thickBot="1" x14ac:dyDescent="0.3">
      <c r="B119" s="42" t="s">
        <v>186</v>
      </c>
      <c r="C119" s="100"/>
      <c r="D119" s="49"/>
      <c r="E119" s="102"/>
      <c r="F119" s="98" t="s">
        <v>184</v>
      </c>
      <c r="G119" s="46"/>
      <c r="H119" s="99"/>
      <c r="I119" s="48">
        <f>(($E119/(1-I$9)))</f>
        <v>0</v>
      </c>
      <c r="J119" s="48">
        <f>(($E119/(1-$J$9)))</f>
        <v>0</v>
      </c>
      <c r="K119" s="48">
        <f>(($E119/(1-K$9)))</f>
        <v>0</v>
      </c>
    </row>
    <row r="120" spans="2:11" ht="18.75" customHeight="1" thickBot="1" x14ac:dyDescent="0.3">
      <c r="B120" s="205"/>
      <c r="C120" s="205"/>
      <c r="D120" s="205"/>
      <c r="E120" s="205"/>
      <c r="F120" s="205"/>
      <c r="G120" s="205"/>
      <c r="H120" s="77"/>
      <c r="I120" s="48"/>
      <c r="J120" s="48"/>
      <c r="K120" s="48"/>
    </row>
    <row r="121" spans="2:11" ht="18.75" customHeight="1" thickBot="1" x14ac:dyDescent="0.3">
      <c r="B121" s="200" t="s">
        <v>187</v>
      </c>
      <c r="C121" s="200"/>
      <c r="D121" s="200"/>
      <c r="E121" s="200"/>
      <c r="F121" s="200"/>
      <c r="G121" s="200"/>
      <c r="H121" s="51"/>
      <c r="I121" s="48"/>
      <c r="J121" s="48"/>
      <c r="K121" s="48"/>
    </row>
    <row r="122" spans="2:11" ht="18.75" customHeight="1" x14ac:dyDescent="0.25">
      <c r="B122" s="42" t="s">
        <v>188</v>
      </c>
      <c r="C122" s="43">
        <v>5</v>
      </c>
      <c r="D122" s="44" t="s">
        <v>189</v>
      </c>
      <c r="E122" s="45">
        <v>271.50873000000001</v>
      </c>
      <c r="F122" s="46">
        <f>CEILING((Updated!F124*1.06),0.5)</f>
        <v>2031</v>
      </c>
      <c r="G122" s="46">
        <f>F122*$G$5</f>
        <v>751.47</v>
      </c>
      <c r="H122" s="47">
        <f>((G122-E122)/G122)</f>
        <v>0.63869651483093137</v>
      </c>
      <c r="I122" s="48">
        <f>(($E122/(1-I$9)))</f>
        <v>678.77182500000004</v>
      </c>
      <c r="J122" s="48">
        <f>(($E122/(1-$J$9)))</f>
        <v>835.41147692307709</v>
      </c>
      <c r="K122" s="48">
        <f>(($E122/(1-K$9)))</f>
        <v>1086.0349200000001</v>
      </c>
    </row>
    <row r="123" spans="2:11" ht="18.75" customHeight="1" x14ac:dyDescent="0.25">
      <c r="B123" s="42" t="s">
        <v>190</v>
      </c>
      <c r="C123" s="43">
        <v>15</v>
      </c>
      <c r="D123" s="44" t="s">
        <v>191</v>
      </c>
      <c r="E123" s="45">
        <v>373.78922</v>
      </c>
      <c r="F123" s="46">
        <f>CEILING((Updated!F125*1.06),0.5)</f>
        <v>3013.5</v>
      </c>
      <c r="G123" s="46">
        <f>F123*$G$5</f>
        <v>1114.9949999999999</v>
      </c>
      <c r="H123" s="47">
        <f>((G123-E123)/G123)</f>
        <v>0.66476152807860123</v>
      </c>
      <c r="I123" s="48">
        <f>(($E123/(1-I$9)))</f>
        <v>934.47304999999994</v>
      </c>
      <c r="J123" s="48">
        <f>(($E123/(1-$J$9)))</f>
        <v>1150.1206769230771</v>
      </c>
      <c r="K123" s="48">
        <f>(($E123/(1-K$9)))</f>
        <v>1495.15688</v>
      </c>
    </row>
    <row r="124" spans="2:11" ht="18.75" customHeight="1" thickBot="1" x14ac:dyDescent="0.3">
      <c r="B124" s="42" t="s">
        <v>192</v>
      </c>
      <c r="C124" s="43">
        <v>50</v>
      </c>
      <c r="D124" s="49" t="s">
        <v>193</v>
      </c>
      <c r="E124" s="50">
        <v>466.21417000000002</v>
      </c>
      <c r="F124" s="46">
        <f>CEILING((Updated!F126*1.06),0.5)</f>
        <v>3456.5</v>
      </c>
      <c r="G124" s="46">
        <f>F124*$G$5</f>
        <v>1278.905</v>
      </c>
      <c r="H124" s="47">
        <f>((G124-E124)/G124)</f>
        <v>0.63545832567704408</v>
      </c>
      <c r="I124" s="48">
        <f>(($E124/(1-I$9)))</f>
        <v>1165.535425</v>
      </c>
      <c r="J124" s="48">
        <f>(($E124/(1-$J$9)))</f>
        <v>1434.5051384615388</v>
      </c>
      <c r="K124" s="48">
        <f>(($E124/(1-K$9)))</f>
        <v>1864.8566800000001</v>
      </c>
    </row>
    <row r="125" spans="2:11" ht="18.75" customHeight="1" thickBot="1" x14ac:dyDescent="0.3">
      <c r="B125" s="205"/>
      <c r="C125" s="205"/>
      <c r="D125" s="205"/>
      <c r="E125" s="205"/>
      <c r="F125" s="205"/>
      <c r="G125" s="205"/>
      <c r="H125" s="77"/>
      <c r="I125" s="48"/>
      <c r="J125" s="48"/>
      <c r="K125" s="48"/>
    </row>
    <row r="126" spans="2:11" ht="18.75" customHeight="1" thickBot="1" x14ac:dyDescent="0.3">
      <c r="B126" s="200" t="s">
        <v>194</v>
      </c>
      <c r="C126" s="200"/>
      <c r="D126" s="200"/>
      <c r="E126" s="200"/>
      <c r="F126" s="200"/>
      <c r="G126" s="200"/>
      <c r="H126" s="51"/>
      <c r="I126" s="48"/>
      <c r="J126" s="48"/>
      <c r="K126" s="48"/>
    </row>
    <row r="127" spans="2:11" ht="18.75" customHeight="1" x14ac:dyDescent="0.25">
      <c r="B127" s="42" t="s">
        <v>195</v>
      </c>
      <c r="C127" s="43">
        <v>12</v>
      </c>
      <c r="D127" s="52" t="s">
        <v>196</v>
      </c>
      <c r="E127" s="68">
        <v>227.197</v>
      </c>
      <c r="F127" s="46">
        <f>CEILING((Updated!F129*1.06),0.5)</f>
        <v>3603.5</v>
      </c>
      <c r="G127" s="46">
        <f>F127*$G$5</f>
        <v>1333.2950000000001</v>
      </c>
      <c r="H127" s="47">
        <f>((G127-E127)/G127)</f>
        <v>0.82959735092383902</v>
      </c>
      <c r="I127" s="48">
        <f>(($E127/(1-I$9)))</f>
        <v>567.99249999999995</v>
      </c>
      <c r="J127" s="48">
        <f>(($E127/(1-$J$9)))</f>
        <v>699.06769230769237</v>
      </c>
      <c r="K127" s="48">
        <f>(($E127/(1-K$9)))</f>
        <v>908.78800000000001</v>
      </c>
    </row>
    <row r="128" spans="2:11" ht="18.75" customHeight="1" thickBot="1" x14ac:dyDescent="0.3">
      <c r="B128" s="42" t="s">
        <v>197</v>
      </c>
      <c r="C128" s="43">
        <v>15</v>
      </c>
      <c r="D128" s="49" t="s">
        <v>198</v>
      </c>
      <c r="E128" s="92">
        <v>404.06700000000001</v>
      </c>
      <c r="F128" s="46">
        <f>CEILING((Updated!F130*1.06),0.5)</f>
        <v>4438</v>
      </c>
      <c r="G128" s="46">
        <f>F128*$G$5</f>
        <v>1642.06</v>
      </c>
      <c r="H128" s="47">
        <f>((G128-E128)/G128)</f>
        <v>0.75392677490469284</v>
      </c>
      <c r="I128" s="48">
        <f>(($E128/(1-I$9)))</f>
        <v>1010.1675</v>
      </c>
      <c r="J128" s="48">
        <f>(($E128/(1-$J$9)))</f>
        <v>1243.283076923077</v>
      </c>
      <c r="K128" s="48">
        <f>(($E128/(1-K$9)))</f>
        <v>1616.268</v>
      </c>
    </row>
    <row r="129" spans="2:11" ht="18.75" customHeight="1" thickBot="1" x14ac:dyDescent="0.3">
      <c r="B129" s="205"/>
      <c r="C129" s="205"/>
      <c r="D129" s="205"/>
      <c r="E129" s="205"/>
      <c r="F129" s="205"/>
      <c r="G129" s="205"/>
      <c r="H129" s="77"/>
      <c r="I129" s="48"/>
      <c r="J129" s="48"/>
      <c r="K129" s="48"/>
    </row>
    <row r="130" spans="2:11" ht="18.75" customHeight="1" thickBot="1" x14ac:dyDescent="0.3">
      <c r="B130" s="200" t="s">
        <v>199</v>
      </c>
      <c r="C130" s="200"/>
      <c r="D130" s="200"/>
      <c r="E130" s="200"/>
      <c r="F130" s="200"/>
      <c r="G130" s="200"/>
      <c r="H130" s="51"/>
      <c r="I130" s="48"/>
      <c r="J130" s="48"/>
      <c r="K130" s="48"/>
    </row>
    <row r="131" spans="2:11" ht="18.75" customHeight="1" thickBot="1" x14ac:dyDescent="0.3">
      <c r="B131" s="42" t="s">
        <v>200</v>
      </c>
      <c r="C131" s="43">
        <v>1.2</v>
      </c>
      <c r="D131" s="52" t="s">
        <v>201</v>
      </c>
      <c r="E131" s="68">
        <v>65.25</v>
      </c>
      <c r="F131" s="46">
        <f>CEILING((Updated!F133*1.06),0.5)</f>
        <v>511.5</v>
      </c>
      <c r="G131" s="46">
        <f>F131*$G$5</f>
        <v>189.255</v>
      </c>
      <c r="H131" s="47">
        <f>((G131-E131)/G131)</f>
        <v>0.65522707458191332</v>
      </c>
      <c r="I131" s="48">
        <f>(($E131/(1-I$9)))</f>
        <v>163.125</v>
      </c>
      <c r="J131" s="48">
        <f>(($E131/(1-$J$9)))</f>
        <v>200.7692307692308</v>
      </c>
      <c r="K131" s="48">
        <f>(($E131/(1-K$9)))</f>
        <v>261</v>
      </c>
    </row>
    <row r="132" spans="2:11" ht="18.75" customHeight="1" thickBot="1" x14ac:dyDescent="0.3">
      <c r="B132" s="205"/>
      <c r="C132" s="205"/>
      <c r="D132" s="205"/>
      <c r="E132" s="205"/>
      <c r="F132" s="205"/>
      <c r="G132" s="205"/>
      <c r="H132" s="77"/>
      <c r="I132" s="48"/>
      <c r="J132" s="48"/>
      <c r="K132" s="48"/>
    </row>
    <row r="133" spans="2:11" ht="19.7" customHeight="1" thickBot="1" x14ac:dyDescent="0.3">
      <c r="B133" s="214" t="s">
        <v>202</v>
      </c>
      <c r="C133" s="214"/>
      <c r="D133" s="214"/>
      <c r="E133" s="214"/>
      <c r="F133" s="214"/>
      <c r="G133" s="214"/>
      <c r="H133" s="91"/>
      <c r="I133" s="48"/>
      <c r="J133" s="48"/>
      <c r="K133" s="48"/>
    </row>
    <row r="134" spans="2:11" ht="18.75" customHeight="1" thickBot="1" x14ac:dyDescent="0.3">
      <c r="B134" s="215" t="s">
        <v>203</v>
      </c>
      <c r="C134" s="215"/>
      <c r="D134" s="215"/>
      <c r="E134" s="215"/>
      <c r="F134" s="215"/>
      <c r="G134" s="215"/>
      <c r="H134" s="103"/>
      <c r="I134" s="48"/>
      <c r="J134" s="48"/>
      <c r="K134" s="48"/>
    </row>
    <row r="135" spans="2:11" ht="18.75" customHeight="1" x14ac:dyDescent="0.25">
      <c r="B135" s="206" t="s">
        <v>204</v>
      </c>
      <c r="C135" s="206"/>
      <c r="D135" s="206"/>
      <c r="E135" s="206"/>
      <c r="F135" s="206"/>
      <c r="G135" s="206"/>
      <c r="H135" s="78"/>
      <c r="I135" s="48"/>
      <c r="J135" s="48"/>
      <c r="K135" s="48"/>
    </row>
    <row r="136" spans="2:11" ht="18.75" customHeight="1" x14ac:dyDescent="0.25">
      <c r="B136" s="42" t="s">
        <v>205</v>
      </c>
      <c r="C136" s="43">
        <v>50</v>
      </c>
      <c r="D136" s="104" t="s">
        <v>206</v>
      </c>
      <c r="E136" s="105">
        <v>731.96</v>
      </c>
      <c r="F136" s="46">
        <f>CEILING((Updated!F138*1.06),0.5)</f>
        <v>5697</v>
      </c>
      <c r="G136" s="46">
        <f>F136*$G$5</f>
        <v>2107.89</v>
      </c>
      <c r="H136" s="47">
        <f>((G136-E136)/G136)</f>
        <v>0.6527522783446954</v>
      </c>
      <c r="I136" s="48">
        <f>(($E136/(1-I$9)))</f>
        <v>1829.9</v>
      </c>
      <c r="J136" s="48">
        <f>(($E136/(1-$J$9)))</f>
        <v>2252.1846153846159</v>
      </c>
      <c r="K136" s="48">
        <f>(($E136/(1-K$9)))</f>
        <v>2927.84</v>
      </c>
    </row>
    <row r="137" spans="2:11" ht="18.75" customHeight="1" x14ac:dyDescent="0.25">
      <c r="B137" s="42" t="s">
        <v>207</v>
      </c>
      <c r="C137" s="43">
        <v>60</v>
      </c>
      <c r="D137" s="106" t="s">
        <v>208</v>
      </c>
      <c r="E137" s="107">
        <v>917.25</v>
      </c>
      <c r="F137" s="46">
        <f>CEILING((Updated!F139*1.06),0.5)</f>
        <v>7920</v>
      </c>
      <c r="G137" s="46">
        <f>F137*$G$5</f>
        <v>2930.4</v>
      </c>
      <c r="H137" s="47">
        <f>((G137-E137)/G137)</f>
        <v>0.68698812448812452</v>
      </c>
      <c r="I137" s="48">
        <f>(($E137/(1-I$9)))</f>
        <v>2293.125</v>
      </c>
      <c r="J137" s="48">
        <f>(($E137/(1-$J$9)))</f>
        <v>2822.3076923076928</v>
      </c>
      <c r="K137" s="48">
        <f>(($E137/(1-K$9)))</f>
        <v>3669</v>
      </c>
    </row>
    <row r="138" spans="2:11" ht="18.75" customHeight="1" thickBot="1" x14ac:dyDescent="0.3">
      <c r="B138" s="42" t="s">
        <v>209</v>
      </c>
      <c r="C138" s="43">
        <v>70</v>
      </c>
      <c r="D138" s="108" t="s">
        <v>210</v>
      </c>
      <c r="E138" s="109">
        <v>1127.5999999999999</v>
      </c>
      <c r="F138" s="46">
        <f>CEILING((Updated!F140*1.06),0.5)</f>
        <v>9692</v>
      </c>
      <c r="G138" s="46">
        <f>F138*$G$5</f>
        <v>3586.04</v>
      </c>
      <c r="H138" s="47">
        <f>((G138-E138)/G138)</f>
        <v>0.68555844329678417</v>
      </c>
      <c r="I138" s="48">
        <f>(($E138/(1-I$9)))</f>
        <v>2818.9999999999995</v>
      </c>
      <c r="J138" s="48">
        <f>(($E138/(1-$J$9)))</f>
        <v>3469.5384615384619</v>
      </c>
      <c r="K138" s="48">
        <f>(($E138/(1-K$9)))</f>
        <v>4510.3999999999996</v>
      </c>
    </row>
    <row r="139" spans="2:11" ht="18.75" customHeight="1" thickBot="1" x14ac:dyDescent="0.3">
      <c r="B139" s="215" t="s">
        <v>211</v>
      </c>
      <c r="C139" s="215"/>
      <c r="D139" s="215"/>
      <c r="E139" s="215"/>
      <c r="F139" s="215"/>
      <c r="G139" s="215"/>
      <c r="H139" s="103"/>
      <c r="I139" s="48"/>
      <c r="J139" s="48"/>
      <c r="K139" s="48"/>
    </row>
    <row r="140" spans="2:11" ht="18.75" customHeight="1" x14ac:dyDescent="0.25">
      <c r="B140" s="206" t="s">
        <v>204</v>
      </c>
      <c r="C140" s="206"/>
      <c r="D140" s="206"/>
      <c r="E140" s="206"/>
      <c r="F140" s="206"/>
      <c r="G140" s="206"/>
      <c r="H140" s="78"/>
      <c r="I140" s="48"/>
      <c r="J140" s="48"/>
      <c r="K140" s="48"/>
    </row>
    <row r="141" spans="2:11" ht="18.75" customHeight="1" x14ac:dyDescent="0.25">
      <c r="B141" s="42" t="s">
        <v>212</v>
      </c>
      <c r="C141" s="43"/>
      <c r="D141" s="44" t="s">
        <v>213</v>
      </c>
      <c r="E141" s="110">
        <v>124.9</v>
      </c>
      <c r="F141" s="46">
        <f>CEILING((Updated!F143*1.06),0.5)</f>
        <v>895</v>
      </c>
      <c r="G141" s="46">
        <f>F141*$G$5</f>
        <v>331.15</v>
      </c>
      <c r="H141" s="47">
        <f>((G141-E141)/G141)</f>
        <v>0.62282953344405856</v>
      </c>
      <c r="I141" s="48">
        <f>(($E141/(1-I$9)))</f>
        <v>312.25</v>
      </c>
      <c r="J141" s="48">
        <f>(($E141/(1-$J$9)))</f>
        <v>384.30769230769238</v>
      </c>
      <c r="K141" s="48">
        <f>(($E141/(1-K$9)))</f>
        <v>499.6</v>
      </c>
    </row>
    <row r="142" spans="2:11" ht="18.75" customHeight="1" x14ac:dyDescent="0.25">
      <c r="B142" s="42" t="s">
        <v>214</v>
      </c>
      <c r="C142" s="43"/>
      <c r="D142" s="44" t="s">
        <v>215</v>
      </c>
      <c r="E142" s="110">
        <v>234.8</v>
      </c>
      <c r="F142" s="46">
        <f>CEILING((Updated!F144*1.06),0.5)</f>
        <v>1682</v>
      </c>
      <c r="G142" s="46">
        <f>F142*$G$5</f>
        <v>622.34</v>
      </c>
      <c r="H142" s="47">
        <f>((G142-E142)/G142)</f>
        <v>0.62271427194138251</v>
      </c>
      <c r="I142" s="48">
        <f>(($E142/(1-I$9)))</f>
        <v>587</v>
      </c>
      <c r="J142" s="48">
        <f>(($E142/(1-$J$9)))</f>
        <v>722.46153846153857</v>
      </c>
      <c r="K142" s="48">
        <f>(($E142/(1-K$9)))</f>
        <v>939.2</v>
      </c>
    </row>
    <row r="143" spans="2:11" ht="18.75" customHeight="1" thickBot="1" x14ac:dyDescent="0.3">
      <c r="B143" s="42" t="s">
        <v>216</v>
      </c>
      <c r="C143" s="43"/>
      <c r="D143" s="44" t="s">
        <v>217</v>
      </c>
      <c r="E143" s="111">
        <v>334.85</v>
      </c>
      <c r="F143" s="46">
        <f>CEILING((Updated!F145*1.06),0.5)</f>
        <v>2398.5</v>
      </c>
      <c r="G143" s="46">
        <f>F143*$G$5</f>
        <v>887.44499999999994</v>
      </c>
      <c r="H143" s="47">
        <f>((G143-E143)/G143)</f>
        <v>0.62268084219303721</v>
      </c>
      <c r="I143" s="48">
        <f>(($E143/(1-I$9)))</f>
        <v>837.125</v>
      </c>
      <c r="J143" s="48">
        <f>(($E143/(1-$J$9)))</f>
        <v>1030.3076923076926</v>
      </c>
      <c r="K143" s="48">
        <f>(($E143/(1-K$9)))</f>
        <v>1339.4</v>
      </c>
    </row>
    <row r="144" spans="2:11" ht="18.75" customHeight="1" thickBot="1" x14ac:dyDescent="0.3">
      <c r="B144" s="205"/>
      <c r="C144" s="205"/>
      <c r="D144" s="205"/>
      <c r="E144" s="205"/>
      <c r="F144" s="205"/>
      <c r="G144" s="205"/>
      <c r="H144" s="77"/>
      <c r="I144" s="48"/>
      <c r="J144" s="48"/>
      <c r="K144" s="48"/>
    </row>
    <row r="145" spans="2:11" ht="19.7" customHeight="1" thickBot="1" x14ac:dyDescent="0.3">
      <c r="B145" s="214" t="s">
        <v>218</v>
      </c>
      <c r="C145" s="214"/>
      <c r="D145" s="214"/>
      <c r="E145" s="214"/>
      <c r="F145" s="214"/>
      <c r="G145" s="214"/>
      <c r="H145" s="91"/>
      <c r="I145" s="48"/>
      <c r="J145" s="48"/>
      <c r="K145" s="48"/>
    </row>
    <row r="146" spans="2:11" ht="18.75" customHeight="1" x14ac:dyDescent="0.25">
      <c r="B146" s="42" t="s">
        <v>219</v>
      </c>
      <c r="C146" s="43">
        <v>7</v>
      </c>
      <c r="D146" s="52" t="s">
        <v>220</v>
      </c>
      <c r="E146" s="45">
        <v>270.54300000000001</v>
      </c>
      <c r="F146" s="46">
        <f>CEILING((Updated!F148*1.06),0.5)</f>
        <v>2217</v>
      </c>
      <c r="G146" s="46">
        <f t="shared" ref="G146:G157" si="15">F146*$G$5</f>
        <v>820.29</v>
      </c>
      <c r="H146" s="47">
        <f t="shared" ref="H146:H157" si="16">((G146-E146)/G146)</f>
        <v>0.67018615367735801</v>
      </c>
      <c r="I146" s="48">
        <f t="shared" ref="I146:I157" si="17">(($E146/(1-I$9)))</f>
        <v>676.35749999999996</v>
      </c>
      <c r="J146" s="48">
        <f t="shared" ref="J146:J157" si="18">(($E146/(1-$J$9)))</f>
        <v>832.44000000000017</v>
      </c>
      <c r="K146" s="48">
        <f t="shared" ref="K146:K157" si="19">(($E146/(1-K$9)))</f>
        <v>1082.172</v>
      </c>
    </row>
    <row r="147" spans="2:11" ht="17.25" customHeight="1" x14ac:dyDescent="0.25">
      <c r="B147" s="42" t="s">
        <v>221</v>
      </c>
      <c r="C147" s="43">
        <v>9</v>
      </c>
      <c r="D147" s="52" t="s">
        <v>222</v>
      </c>
      <c r="E147" s="45">
        <v>702.65773000000002</v>
      </c>
      <c r="F147" s="46">
        <f>CEILING((Updated!F149*1.06),0.5)</f>
        <v>5473.5</v>
      </c>
      <c r="G147" s="46">
        <f t="shared" si="15"/>
        <v>2025.1949999999999</v>
      </c>
      <c r="H147" s="47">
        <f t="shared" si="16"/>
        <v>0.65304193917128961</v>
      </c>
      <c r="I147" s="48">
        <f t="shared" si="17"/>
        <v>1756.644325</v>
      </c>
      <c r="J147" s="48">
        <f t="shared" si="18"/>
        <v>2162.023784615385</v>
      </c>
      <c r="K147" s="48">
        <f t="shared" si="19"/>
        <v>2810.6309200000001</v>
      </c>
    </row>
    <row r="148" spans="2:11" ht="17.25" customHeight="1" x14ac:dyDescent="0.25">
      <c r="B148" s="42" t="s">
        <v>223</v>
      </c>
      <c r="C148" s="43">
        <v>0.1</v>
      </c>
      <c r="D148" s="52" t="s">
        <v>224</v>
      </c>
      <c r="E148" s="45">
        <v>37.204889999999999</v>
      </c>
      <c r="F148" s="46">
        <f>CEILING((Updated!F150*1.06),0.5)</f>
        <v>328.5</v>
      </c>
      <c r="G148" s="46">
        <f t="shared" si="15"/>
        <v>121.545</v>
      </c>
      <c r="H148" s="47">
        <f t="shared" si="16"/>
        <v>0.69390028384548941</v>
      </c>
      <c r="I148" s="48">
        <f t="shared" si="17"/>
        <v>93.012224999999987</v>
      </c>
      <c r="J148" s="48">
        <f t="shared" si="18"/>
        <v>114.47658461538462</v>
      </c>
      <c r="K148" s="48">
        <f t="shared" si="19"/>
        <v>148.81956</v>
      </c>
    </row>
    <row r="149" spans="2:11" ht="18.75" customHeight="1" x14ac:dyDescent="0.25">
      <c r="B149" s="42" t="s">
        <v>225</v>
      </c>
      <c r="C149" s="43">
        <v>52</v>
      </c>
      <c r="D149" s="112" t="s">
        <v>226</v>
      </c>
      <c r="E149" s="45">
        <v>1470.2704200000001</v>
      </c>
      <c r="F149" s="46">
        <f>CEILING((Updated!F151*1.06),0.5)</f>
        <v>12226.5</v>
      </c>
      <c r="G149" s="46">
        <f t="shared" si="15"/>
        <v>4523.8050000000003</v>
      </c>
      <c r="H149" s="47">
        <f t="shared" si="16"/>
        <v>0.67499252951884536</v>
      </c>
      <c r="I149" s="48">
        <f t="shared" si="17"/>
        <v>3675.67605</v>
      </c>
      <c r="J149" s="48">
        <f t="shared" si="18"/>
        <v>4523.9089846153856</v>
      </c>
      <c r="K149" s="48">
        <f t="shared" si="19"/>
        <v>5881.0816800000002</v>
      </c>
    </row>
    <row r="150" spans="2:11" ht="18.75" customHeight="1" x14ac:dyDescent="0.25">
      <c r="B150" s="42" t="s">
        <v>227</v>
      </c>
      <c r="C150" s="43">
        <v>105</v>
      </c>
      <c r="D150" s="113" t="s">
        <v>228</v>
      </c>
      <c r="E150" s="45">
        <v>1638.2704200000001</v>
      </c>
      <c r="F150" s="46">
        <f>CEILING((Updated!F152*1.06),0.5)</f>
        <v>13937</v>
      </c>
      <c r="G150" s="46">
        <f t="shared" si="15"/>
        <v>5156.6899999999996</v>
      </c>
      <c r="H150" s="47">
        <f t="shared" si="16"/>
        <v>0.68230193787099869</v>
      </c>
      <c r="I150" s="48">
        <f t="shared" si="17"/>
        <v>4095.67605</v>
      </c>
      <c r="J150" s="48">
        <f t="shared" si="18"/>
        <v>5040.8320615384628</v>
      </c>
      <c r="K150" s="48">
        <f t="shared" si="19"/>
        <v>6553.0816800000002</v>
      </c>
    </row>
    <row r="151" spans="2:11" ht="18.75" customHeight="1" x14ac:dyDescent="0.25">
      <c r="B151" s="42" t="s">
        <v>229</v>
      </c>
      <c r="C151" s="43">
        <v>144</v>
      </c>
      <c r="D151" s="113" t="s">
        <v>230</v>
      </c>
      <c r="E151" s="45">
        <v>9356.4279200000001</v>
      </c>
      <c r="F151" s="46">
        <f>CEILING((Updated!F153*1.06),0.5)</f>
        <v>67013</v>
      </c>
      <c r="G151" s="46">
        <f t="shared" si="15"/>
        <v>24794.81</v>
      </c>
      <c r="H151" s="47">
        <f t="shared" si="16"/>
        <v>0.62264571013046688</v>
      </c>
      <c r="I151" s="48">
        <f t="shared" si="17"/>
        <v>23391.069799999997</v>
      </c>
      <c r="J151" s="48">
        <f t="shared" si="18"/>
        <v>28789.00898461539</v>
      </c>
      <c r="K151" s="48">
        <f t="shared" si="19"/>
        <v>37425.71168</v>
      </c>
    </row>
    <row r="152" spans="2:11" ht="18.75" customHeight="1" x14ac:dyDescent="0.25">
      <c r="B152" s="42" t="s">
        <v>231</v>
      </c>
      <c r="C152" s="43">
        <v>189</v>
      </c>
      <c r="D152" s="113" t="s">
        <v>232</v>
      </c>
      <c r="E152" s="45">
        <v>2249.2704199999998</v>
      </c>
      <c r="F152" s="46">
        <f>CEILING((Updated!F154*1.06),0.5)</f>
        <v>17032</v>
      </c>
      <c r="G152" s="46">
        <f t="shared" si="15"/>
        <v>6301.84</v>
      </c>
      <c r="H152" s="47">
        <f t="shared" si="16"/>
        <v>0.64307719332766311</v>
      </c>
      <c r="I152" s="48">
        <f t="shared" si="17"/>
        <v>5623.1760499999991</v>
      </c>
      <c r="J152" s="48">
        <f t="shared" si="18"/>
        <v>6920.8320615384619</v>
      </c>
      <c r="K152" s="48">
        <f t="shared" si="19"/>
        <v>8997.0816799999993</v>
      </c>
    </row>
    <row r="153" spans="2:11" ht="18.75" customHeight="1" x14ac:dyDescent="0.25">
      <c r="B153" s="42" t="s">
        <v>233</v>
      </c>
      <c r="C153" s="43">
        <v>249</v>
      </c>
      <c r="D153" s="113" t="s">
        <v>234</v>
      </c>
      <c r="E153" s="45">
        <v>2427.2704199999998</v>
      </c>
      <c r="F153" s="46">
        <f>CEILING((Updated!F155*1.06),0.5)</f>
        <v>20353.5</v>
      </c>
      <c r="G153" s="46">
        <f t="shared" si="15"/>
        <v>7530.7950000000001</v>
      </c>
      <c r="H153" s="47">
        <f t="shared" si="16"/>
        <v>0.67768735970106742</v>
      </c>
      <c r="I153" s="48">
        <f t="shared" si="17"/>
        <v>6068.1760499999991</v>
      </c>
      <c r="J153" s="48">
        <f t="shared" si="18"/>
        <v>7468.5243692307695</v>
      </c>
      <c r="K153" s="48">
        <f t="shared" si="19"/>
        <v>9709.0816799999993</v>
      </c>
    </row>
    <row r="154" spans="2:11" ht="18.75" customHeight="1" x14ac:dyDescent="0.25">
      <c r="B154" s="42" t="s">
        <v>235</v>
      </c>
      <c r="C154" s="43">
        <v>353</v>
      </c>
      <c r="D154" s="113" t="s">
        <v>236</v>
      </c>
      <c r="E154" s="45">
        <v>2477.1737600000001</v>
      </c>
      <c r="F154" s="46">
        <f>CEILING((Updated!F156*1.06),0.5)</f>
        <v>23105</v>
      </c>
      <c r="G154" s="46">
        <f t="shared" si="15"/>
        <v>8548.85</v>
      </c>
      <c r="H154" s="47">
        <f t="shared" si="16"/>
        <v>0.71023310035852782</v>
      </c>
      <c r="I154" s="48">
        <f t="shared" si="17"/>
        <v>6192.9344000000001</v>
      </c>
      <c r="J154" s="48">
        <f t="shared" si="18"/>
        <v>7622.0731076923093</v>
      </c>
      <c r="K154" s="48">
        <f t="shared" si="19"/>
        <v>9908.6950400000005</v>
      </c>
    </row>
    <row r="155" spans="2:11" ht="18.75" customHeight="1" x14ac:dyDescent="0.25">
      <c r="B155" s="42" t="s">
        <v>237</v>
      </c>
      <c r="C155" s="43">
        <v>640</v>
      </c>
      <c r="D155" s="113" t="s">
        <v>238</v>
      </c>
      <c r="E155" s="45">
        <v>2332.1737600000001</v>
      </c>
      <c r="F155" s="46">
        <f>CEILING((Updated!F157*1.06),0.5)</f>
        <v>25466.5</v>
      </c>
      <c r="G155" s="46">
        <f t="shared" si="15"/>
        <v>9422.6049999999996</v>
      </c>
      <c r="H155" s="47">
        <f t="shared" si="16"/>
        <v>0.75249161351876681</v>
      </c>
      <c r="I155" s="48">
        <f t="shared" si="17"/>
        <v>5830.4344000000001</v>
      </c>
      <c r="J155" s="48">
        <f t="shared" si="18"/>
        <v>7175.9192615384627</v>
      </c>
      <c r="K155" s="48">
        <f t="shared" si="19"/>
        <v>9328.6950400000005</v>
      </c>
    </row>
    <row r="156" spans="2:11" ht="18.75" customHeight="1" x14ac:dyDescent="0.25">
      <c r="B156" s="42" t="s">
        <v>239</v>
      </c>
      <c r="C156" s="43">
        <v>1072</v>
      </c>
      <c r="D156" s="113" t="s">
        <v>240</v>
      </c>
      <c r="E156" s="45">
        <v>5046.1737599999997</v>
      </c>
      <c r="F156" s="46">
        <f>CEILING((Updated!F158*1.06),0.5)</f>
        <v>33993</v>
      </c>
      <c r="G156" s="46">
        <f t="shared" si="15"/>
        <v>12577.41</v>
      </c>
      <c r="H156" s="47">
        <f t="shared" si="16"/>
        <v>0.59879070810286061</v>
      </c>
      <c r="I156" s="48">
        <f t="shared" si="17"/>
        <v>12615.434399999998</v>
      </c>
      <c r="J156" s="48">
        <f t="shared" si="18"/>
        <v>15526.688492307694</v>
      </c>
      <c r="K156" s="48">
        <f t="shared" si="19"/>
        <v>20184.695039999999</v>
      </c>
    </row>
    <row r="157" spans="2:11" ht="18.75" customHeight="1" x14ac:dyDescent="0.25">
      <c r="B157" s="42" t="s">
        <v>241</v>
      </c>
      <c r="C157" s="43">
        <v>5.0999999999999996</v>
      </c>
      <c r="D157" s="44" t="s">
        <v>242</v>
      </c>
      <c r="E157" s="114">
        <v>44.58</v>
      </c>
      <c r="F157" s="46">
        <f>CEILING((Updated!F159*1.06),0.5)</f>
        <v>633.5</v>
      </c>
      <c r="G157" s="46">
        <f t="shared" si="15"/>
        <v>234.39500000000001</v>
      </c>
      <c r="H157" s="47">
        <f t="shared" si="16"/>
        <v>0.80980822969773236</v>
      </c>
      <c r="I157" s="48">
        <f t="shared" si="17"/>
        <v>111.44999999999999</v>
      </c>
      <c r="J157" s="48">
        <f t="shared" si="18"/>
        <v>137.16923076923078</v>
      </c>
      <c r="K157" s="48">
        <f t="shared" si="19"/>
        <v>178.32</v>
      </c>
    </row>
    <row r="158" spans="2:11" ht="18.75" customHeight="1" thickBot="1" x14ac:dyDescent="0.3">
      <c r="B158" s="216" t="s">
        <v>243</v>
      </c>
      <c r="C158" s="216"/>
      <c r="D158" s="216"/>
      <c r="E158" s="216"/>
      <c r="F158" s="216"/>
      <c r="G158" s="216"/>
      <c r="H158" s="115"/>
      <c r="I158" s="115"/>
      <c r="J158" s="115"/>
      <c r="K158" s="115"/>
    </row>
    <row r="159" spans="2:11" ht="18.75" customHeight="1" x14ac:dyDescent="0.25">
      <c r="B159" s="42" t="s">
        <v>244</v>
      </c>
      <c r="C159" s="43">
        <v>1.5</v>
      </c>
      <c r="D159" s="49" t="s">
        <v>245</v>
      </c>
      <c r="E159" s="116">
        <v>142.43</v>
      </c>
      <c r="F159" s="46">
        <f>CEILING((Updated!F161*1.06),0.5)</f>
        <v>1986.5</v>
      </c>
      <c r="G159" s="46">
        <f>F159*$G$5</f>
        <v>735.005</v>
      </c>
      <c r="H159" s="47">
        <f>((G159-E159)/G159)</f>
        <v>0.80621900531288915</v>
      </c>
      <c r="I159" s="48">
        <f>(($E159/(1-I$9)))</f>
        <v>356.07499999999999</v>
      </c>
      <c r="J159" s="48">
        <f>(($E159/(1-$J$9)))</f>
        <v>438.2461538461539</v>
      </c>
      <c r="K159" s="48">
        <f>(($E159/(1-K$9)))</f>
        <v>569.72</v>
      </c>
    </row>
    <row r="160" spans="2:11" ht="18.75" customHeight="1" thickBot="1" x14ac:dyDescent="0.3">
      <c r="B160" s="42" t="s">
        <v>246</v>
      </c>
      <c r="C160" s="43">
        <v>0.4</v>
      </c>
      <c r="D160" s="49" t="s">
        <v>247</v>
      </c>
      <c r="E160" s="92">
        <v>83</v>
      </c>
      <c r="F160" s="46">
        <f>CEILING((Updated!F162*1.06),0.5)</f>
        <v>922.5</v>
      </c>
      <c r="G160" s="46">
        <f>F160*$G$5</f>
        <v>341.32499999999999</v>
      </c>
      <c r="H160" s="47">
        <f>((G160-E160)/G160)</f>
        <v>0.75683000073243978</v>
      </c>
      <c r="I160" s="48">
        <f>(($E160/(1-I$9)))</f>
        <v>207.5</v>
      </c>
      <c r="J160" s="48">
        <f>(($E160/(1-$J$9)))</f>
        <v>255.38461538461542</v>
      </c>
      <c r="K160" s="48">
        <f>(($E160/(1-K$9)))</f>
        <v>332</v>
      </c>
    </row>
    <row r="161" spans="2:11" ht="18.75" customHeight="1" thickBot="1" x14ac:dyDescent="0.3">
      <c r="B161" s="205"/>
      <c r="C161" s="205"/>
      <c r="D161" s="205"/>
      <c r="E161" s="205"/>
      <c r="F161" s="205"/>
      <c r="G161" s="205"/>
      <c r="H161" s="77"/>
      <c r="I161" s="117"/>
      <c r="J161" s="117"/>
      <c r="K161" s="117"/>
    </row>
    <row r="162" spans="2:11" ht="19.7" customHeight="1" thickBot="1" x14ac:dyDescent="0.3">
      <c r="B162" s="214" t="s">
        <v>248</v>
      </c>
      <c r="C162" s="214"/>
      <c r="D162" s="214"/>
      <c r="E162" s="214"/>
      <c r="F162" s="214"/>
      <c r="G162" s="214"/>
      <c r="H162" s="91"/>
      <c r="I162" s="91"/>
      <c r="J162" s="91"/>
      <c r="K162" s="91"/>
    </row>
    <row r="163" spans="2:11" ht="18.75" customHeight="1" x14ac:dyDescent="0.25">
      <c r="B163" s="42" t="s">
        <v>249</v>
      </c>
      <c r="C163" s="43">
        <v>0.1</v>
      </c>
      <c r="D163" s="118" t="s">
        <v>250</v>
      </c>
      <c r="E163" s="68">
        <v>2.72</v>
      </c>
      <c r="F163" s="46">
        <f>CEILING((Updated!F165*1.06),0.5)</f>
        <v>108</v>
      </c>
      <c r="G163" s="46">
        <f t="shared" ref="G163:G170" si="20">F163*$G$5</f>
        <v>39.96</v>
      </c>
      <c r="H163" s="47">
        <f t="shared" ref="H163:H170" si="21">((G163-E163)/G163)</f>
        <v>0.93193193193193191</v>
      </c>
      <c r="I163" s="48">
        <f t="shared" ref="I163:I170" si="22">(($E163/(1-I$9)))</f>
        <v>6.8</v>
      </c>
      <c r="J163" s="48">
        <f t="shared" ref="J163:J170" si="23">(($E163/(1-$J$9)))</f>
        <v>8.3692307692307715</v>
      </c>
      <c r="K163" s="48">
        <f t="shared" ref="K163:K170" si="24">(($E163/(1-K$9)))</f>
        <v>10.88</v>
      </c>
    </row>
    <row r="164" spans="2:11" ht="18.75" customHeight="1" x14ac:dyDescent="0.25">
      <c r="B164" s="42" t="s">
        <v>251</v>
      </c>
      <c r="C164" s="43">
        <v>0.1</v>
      </c>
      <c r="D164" s="85" t="s">
        <v>252</v>
      </c>
      <c r="E164" s="68">
        <v>4.42</v>
      </c>
      <c r="F164" s="46">
        <f>CEILING((Updated!F166*1.06),0.5)</f>
        <v>108</v>
      </c>
      <c r="G164" s="46">
        <f t="shared" si="20"/>
        <v>39.96</v>
      </c>
      <c r="H164" s="47">
        <f t="shared" si="21"/>
        <v>0.88938938938938938</v>
      </c>
      <c r="I164" s="48">
        <f t="shared" si="22"/>
        <v>11.049999999999999</v>
      </c>
      <c r="J164" s="48">
        <f t="shared" si="23"/>
        <v>13.600000000000001</v>
      </c>
      <c r="K164" s="48">
        <f t="shared" si="24"/>
        <v>17.68</v>
      </c>
    </row>
    <row r="165" spans="2:11" ht="18.75" customHeight="1" x14ac:dyDescent="0.25">
      <c r="B165" s="42" t="s">
        <v>253</v>
      </c>
      <c r="C165" s="43">
        <v>0.1</v>
      </c>
      <c r="D165" s="85" t="s">
        <v>254</v>
      </c>
      <c r="E165" s="68">
        <v>12.6</v>
      </c>
      <c r="F165" s="46">
        <f>CEILING((Updated!F167*1.06),0.5)</f>
        <v>108</v>
      </c>
      <c r="G165" s="46">
        <f t="shared" si="20"/>
        <v>39.96</v>
      </c>
      <c r="H165" s="47">
        <f t="shared" si="21"/>
        <v>0.68468468468468469</v>
      </c>
      <c r="I165" s="48">
        <f t="shared" si="22"/>
        <v>31.499999999999996</v>
      </c>
      <c r="J165" s="48">
        <f t="shared" si="23"/>
        <v>38.769230769230774</v>
      </c>
      <c r="K165" s="48">
        <f t="shared" si="24"/>
        <v>50.4</v>
      </c>
    </row>
    <row r="166" spans="2:11" ht="18.75" customHeight="1" x14ac:dyDescent="0.25">
      <c r="B166" s="42" t="s">
        <v>255</v>
      </c>
      <c r="C166" s="43">
        <v>0.1</v>
      </c>
      <c r="D166" s="85" t="s">
        <v>256</v>
      </c>
      <c r="E166" s="119">
        <v>12.6</v>
      </c>
      <c r="F166" s="46">
        <f>CEILING((Updated!F168*1.06),0.5)</f>
        <v>58.5</v>
      </c>
      <c r="G166" s="46">
        <f t="shared" si="20"/>
        <v>21.645</v>
      </c>
      <c r="H166" s="47">
        <f t="shared" si="21"/>
        <v>0.4178794178794179</v>
      </c>
      <c r="I166" s="48">
        <f t="shared" si="22"/>
        <v>31.499999999999996</v>
      </c>
      <c r="J166" s="48">
        <f t="shared" si="23"/>
        <v>38.769230769230774</v>
      </c>
      <c r="K166" s="48">
        <f t="shared" si="24"/>
        <v>50.4</v>
      </c>
    </row>
    <row r="167" spans="2:11" ht="18.75" customHeight="1" x14ac:dyDescent="0.25">
      <c r="B167" s="42" t="s">
        <v>257</v>
      </c>
      <c r="C167" s="43">
        <v>0.1</v>
      </c>
      <c r="D167" s="118" t="s">
        <v>258</v>
      </c>
      <c r="E167" s="119">
        <v>5.28</v>
      </c>
      <c r="F167" s="46">
        <f>CEILING((Updated!F169*1.06),0.5)</f>
        <v>58.5</v>
      </c>
      <c r="G167" s="46">
        <f t="shared" si="20"/>
        <v>21.645</v>
      </c>
      <c r="H167" s="47">
        <f t="shared" si="21"/>
        <v>0.75606375606375598</v>
      </c>
      <c r="I167" s="48">
        <f t="shared" si="22"/>
        <v>13.2</v>
      </c>
      <c r="J167" s="48">
        <f t="shared" si="23"/>
        <v>16.246153846153849</v>
      </c>
      <c r="K167" s="48">
        <f t="shared" si="24"/>
        <v>21.12</v>
      </c>
    </row>
    <row r="168" spans="2:11" ht="18.75" customHeight="1" x14ac:dyDescent="0.25">
      <c r="B168" s="42" t="s">
        <v>259</v>
      </c>
      <c r="C168" s="43">
        <v>0.1</v>
      </c>
      <c r="D168" s="120" t="s">
        <v>260</v>
      </c>
      <c r="E168" s="119">
        <v>21.8</v>
      </c>
      <c r="F168" s="46">
        <f>CEILING((Updated!F170*1.06),0.5)</f>
        <v>156.5</v>
      </c>
      <c r="G168" s="46">
        <f t="shared" si="20"/>
        <v>57.905000000000001</v>
      </c>
      <c r="H168" s="47">
        <f t="shared" si="21"/>
        <v>0.62352128486313796</v>
      </c>
      <c r="I168" s="48">
        <f t="shared" si="22"/>
        <v>54.5</v>
      </c>
      <c r="J168" s="48">
        <f t="shared" si="23"/>
        <v>67.076923076923094</v>
      </c>
      <c r="K168" s="48">
        <f t="shared" si="24"/>
        <v>87.2</v>
      </c>
    </row>
    <row r="169" spans="2:11" ht="18.75" customHeight="1" x14ac:dyDescent="0.25">
      <c r="B169" s="42" t="s">
        <v>261</v>
      </c>
      <c r="C169" s="43">
        <v>0.1</v>
      </c>
      <c r="D169" s="85" t="s">
        <v>262</v>
      </c>
      <c r="E169" s="119">
        <v>12.6</v>
      </c>
      <c r="F169" s="46">
        <f>CEILING((Updated!F171*1.06),0.5)</f>
        <v>58.5</v>
      </c>
      <c r="G169" s="46">
        <f t="shared" si="20"/>
        <v>21.645</v>
      </c>
      <c r="H169" s="47">
        <f t="shared" si="21"/>
        <v>0.4178794178794179</v>
      </c>
      <c r="I169" s="48">
        <f t="shared" si="22"/>
        <v>31.499999999999996</v>
      </c>
      <c r="J169" s="48">
        <f t="shared" si="23"/>
        <v>38.769230769230774</v>
      </c>
      <c r="K169" s="48">
        <f t="shared" si="24"/>
        <v>50.4</v>
      </c>
    </row>
    <row r="170" spans="2:11" ht="18.75" customHeight="1" thickBot="1" x14ac:dyDescent="0.3">
      <c r="B170" s="42" t="s">
        <v>263</v>
      </c>
      <c r="C170" s="43">
        <v>0.1</v>
      </c>
      <c r="D170" s="120" t="s">
        <v>264</v>
      </c>
      <c r="E170" s="92">
        <v>12.6</v>
      </c>
      <c r="F170" s="46">
        <f>CEILING((Updated!F172*1.06),0.5)</f>
        <v>58.5</v>
      </c>
      <c r="G170" s="46">
        <f t="shared" si="20"/>
        <v>21.645</v>
      </c>
      <c r="H170" s="47">
        <f t="shared" si="21"/>
        <v>0.4178794178794179</v>
      </c>
      <c r="I170" s="48">
        <f t="shared" si="22"/>
        <v>31.499999999999996</v>
      </c>
      <c r="J170" s="48">
        <f t="shared" si="23"/>
        <v>38.769230769230774</v>
      </c>
      <c r="K170" s="48">
        <f t="shared" si="24"/>
        <v>50.4</v>
      </c>
    </row>
    <row r="171" spans="2:11" ht="18.75" customHeight="1" thickBot="1" x14ac:dyDescent="0.3">
      <c r="B171" s="205"/>
      <c r="C171" s="205"/>
      <c r="D171" s="205"/>
      <c r="E171" s="205"/>
      <c r="F171" s="205"/>
      <c r="G171" s="205"/>
      <c r="H171" s="77"/>
      <c r="I171" s="117"/>
      <c r="J171" s="117"/>
      <c r="K171" s="117"/>
    </row>
    <row r="172" spans="2:11" ht="19.7" customHeight="1" thickBot="1" x14ac:dyDescent="0.3">
      <c r="B172" s="214" t="s">
        <v>265</v>
      </c>
      <c r="C172" s="214"/>
      <c r="D172" s="214"/>
      <c r="E172" s="214"/>
      <c r="F172" s="214"/>
      <c r="G172" s="214"/>
      <c r="H172" s="91"/>
      <c r="I172" s="91"/>
      <c r="J172" s="91"/>
      <c r="K172" s="91"/>
    </row>
    <row r="173" spans="2:11" ht="18.75" customHeight="1" x14ac:dyDescent="0.25">
      <c r="B173" s="42" t="s">
        <v>266</v>
      </c>
      <c r="C173" s="43">
        <v>0.5</v>
      </c>
      <c r="D173" s="121" t="s">
        <v>267</v>
      </c>
      <c r="E173" s="122">
        <v>0.69499999999999995</v>
      </c>
      <c r="F173" s="46">
        <f>CEILING((Updated!F175*1.06),0.5)</f>
        <v>34</v>
      </c>
      <c r="G173" s="46">
        <f t="shared" ref="G173:G193" si="25">F173*$G$5</f>
        <v>12.58</v>
      </c>
      <c r="H173" s="47">
        <f t="shared" ref="H173:H193" si="26">((G173-E173)/G173)</f>
        <v>0.94475357710651831</v>
      </c>
      <c r="I173" s="48">
        <f t="shared" ref="I173:I193" si="27">(($E173/(1-I$9)))</f>
        <v>1.7374999999999998</v>
      </c>
      <c r="J173" s="48">
        <f t="shared" ref="J173:J193" si="28">(($E173/(1-$J$9)))</f>
        <v>2.1384615384615384</v>
      </c>
      <c r="K173" s="48">
        <f t="shared" ref="K173:K193" si="29">(($E173/(1-K$9)))</f>
        <v>2.78</v>
      </c>
    </row>
    <row r="174" spans="2:11" ht="18.75" customHeight="1" x14ac:dyDescent="0.25">
      <c r="B174" s="42" t="s">
        <v>268</v>
      </c>
      <c r="C174" s="43">
        <v>0.1</v>
      </c>
      <c r="D174" s="123" t="s">
        <v>269</v>
      </c>
      <c r="E174" s="122">
        <v>0.70750000000000002</v>
      </c>
      <c r="F174" s="46">
        <f>CEILING((Updated!F176*1.06),0.5)</f>
        <v>34</v>
      </c>
      <c r="G174" s="46">
        <f t="shared" si="25"/>
        <v>12.58</v>
      </c>
      <c r="H174" s="47">
        <f t="shared" si="26"/>
        <v>0.94375993640699529</v>
      </c>
      <c r="I174" s="48">
        <f t="shared" si="27"/>
        <v>1.76875</v>
      </c>
      <c r="J174" s="48">
        <f t="shared" si="28"/>
        <v>2.1769230769230772</v>
      </c>
      <c r="K174" s="48">
        <f t="shared" si="29"/>
        <v>2.83</v>
      </c>
    </row>
    <row r="175" spans="2:11" ht="18.75" customHeight="1" x14ac:dyDescent="0.25">
      <c r="B175" s="42" t="s">
        <v>270</v>
      </c>
      <c r="C175" s="43">
        <v>0.5</v>
      </c>
      <c r="D175" s="85" t="s">
        <v>271</v>
      </c>
      <c r="E175" s="68">
        <v>0.8</v>
      </c>
      <c r="F175" s="46">
        <f>CEILING((Updated!F177*1.06),0.5)</f>
        <v>34</v>
      </c>
      <c r="G175" s="46">
        <f t="shared" si="25"/>
        <v>12.58</v>
      </c>
      <c r="H175" s="47">
        <f t="shared" si="26"/>
        <v>0.93640699523052462</v>
      </c>
      <c r="I175" s="48">
        <f t="shared" si="27"/>
        <v>2</v>
      </c>
      <c r="J175" s="48">
        <f t="shared" si="28"/>
        <v>2.4615384615384621</v>
      </c>
      <c r="K175" s="48">
        <f t="shared" si="29"/>
        <v>3.2</v>
      </c>
    </row>
    <row r="176" spans="2:11" ht="18.75" customHeight="1" x14ac:dyDescent="0.25">
      <c r="B176" s="42" t="s">
        <v>272</v>
      </c>
      <c r="C176" s="43">
        <v>1</v>
      </c>
      <c r="D176" s="85" t="s">
        <v>273</v>
      </c>
      <c r="E176" s="68">
        <v>8.1505299999999998</v>
      </c>
      <c r="F176" s="46">
        <f>CEILING((Updated!F178*1.06),0.5)</f>
        <v>195.5</v>
      </c>
      <c r="G176" s="46">
        <f t="shared" si="25"/>
        <v>72.334999999999994</v>
      </c>
      <c r="H176" s="47">
        <f t="shared" si="26"/>
        <v>0.8873224580078799</v>
      </c>
      <c r="I176" s="48">
        <f t="shared" si="27"/>
        <v>20.376324999999998</v>
      </c>
      <c r="J176" s="48">
        <f t="shared" si="28"/>
        <v>25.078553846153849</v>
      </c>
      <c r="K176" s="48">
        <f t="shared" si="29"/>
        <v>32.602119999999999</v>
      </c>
    </row>
    <row r="177" spans="2:11" ht="18.75" customHeight="1" x14ac:dyDescent="0.25">
      <c r="B177" s="42" t="s">
        <v>274</v>
      </c>
      <c r="C177" s="43">
        <v>1</v>
      </c>
      <c r="D177" s="85" t="s">
        <v>275</v>
      </c>
      <c r="E177" s="68">
        <v>28.98</v>
      </c>
      <c r="F177" s="46">
        <f>CEILING((Updated!F179*1.06),0.5)</f>
        <v>558</v>
      </c>
      <c r="G177" s="46">
        <f t="shared" si="25"/>
        <v>206.46</v>
      </c>
      <c r="H177" s="47">
        <f t="shared" si="26"/>
        <v>0.85963382737576288</v>
      </c>
      <c r="I177" s="48">
        <f t="shared" si="27"/>
        <v>72.45</v>
      </c>
      <c r="J177" s="48">
        <f t="shared" si="28"/>
        <v>89.169230769230779</v>
      </c>
      <c r="K177" s="48">
        <f t="shared" si="29"/>
        <v>115.92</v>
      </c>
    </row>
    <row r="178" spans="2:11" ht="18.75" customHeight="1" x14ac:dyDescent="0.25">
      <c r="B178" s="42" t="s">
        <v>276</v>
      </c>
      <c r="C178" s="43">
        <v>1</v>
      </c>
      <c r="D178" s="85" t="s">
        <v>277</v>
      </c>
      <c r="E178" s="68">
        <v>25.795000000000002</v>
      </c>
      <c r="F178" s="46">
        <f>CEILING((Updated!F180*1.06),0.5)</f>
        <v>512</v>
      </c>
      <c r="G178" s="46">
        <f t="shared" si="25"/>
        <v>189.44</v>
      </c>
      <c r="H178" s="47">
        <f t="shared" si="26"/>
        <v>0.86383551520270263</v>
      </c>
      <c r="I178" s="48">
        <f t="shared" si="27"/>
        <v>64.487499999999997</v>
      </c>
      <c r="J178" s="48">
        <f t="shared" si="28"/>
        <v>79.369230769230782</v>
      </c>
      <c r="K178" s="48">
        <f t="shared" si="29"/>
        <v>103.18</v>
      </c>
    </row>
    <row r="179" spans="2:11" ht="18.75" customHeight="1" x14ac:dyDescent="0.25">
      <c r="B179" s="42" t="s">
        <v>278</v>
      </c>
      <c r="C179" s="43">
        <v>1</v>
      </c>
      <c r="D179" s="85" t="s">
        <v>279</v>
      </c>
      <c r="E179" s="68">
        <v>13.870799999999999</v>
      </c>
      <c r="F179" s="46">
        <f>CEILING((Updated!F181*1.06),0.5)</f>
        <v>335</v>
      </c>
      <c r="G179" s="46">
        <f t="shared" si="25"/>
        <v>123.95</v>
      </c>
      <c r="H179" s="47">
        <f t="shared" si="26"/>
        <v>0.88809358612343681</v>
      </c>
      <c r="I179" s="48">
        <f t="shared" si="27"/>
        <v>34.676999999999992</v>
      </c>
      <c r="J179" s="48">
        <f t="shared" si="28"/>
        <v>42.67938461538462</v>
      </c>
      <c r="K179" s="48">
        <f t="shared" si="29"/>
        <v>55.483199999999997</v>
      </c>
    </row>
    <row r="180" spans="2:11" ht="18.75" customHeight="1" x14ac:dyDescent="0.25">
      <c r="B180" s="42" t="s">
        <v>280</v>
      </c>
      <c r="C180" s="43">
        <v>1</v>
      </c>
      <c r="D180" s="85" t="s">
        <v>281</v>
      </c>
      <c r="E180" s="68">
        <v>5.1223999999999998</v>
      </c>
      <c r="F180" s="46">
        <f>CEILING((Updated!F182*1.06),0.5)</f>
        <v>114</v>
      </c>
      <c r="G180" s="46">
        <f t="shared" si="25"/>
        <v>42.18</v>
      </c>
      <c r="H180" s="47">
        <f t="shared" si="26"/>
        <v>0.87855855855855858</v>
      </c>
      <c r="I180" s="48">
        <f t="shared" si="27"/>
        <v>12.805999999999999</v>
      </c>
      <c r="J180" s="48">
        <f t="shared" si="28"/>
        <v>15.761230769230771</v>
      </c>
      <c r="K180" s="48">
        <f t="shared" si="29"/>
        <v>20.489599999999999</v>
      </c>
    </row>
    <row r="181" spans="2:11" ht="18.75" customHeight="1" x14ac:dyDescent="0.25">
      <c r="B181" s="42" t="s">
        <v>282</v>
      </c>
      <c r="C181" s="43">
        <v>1</v>
      </c>
      <c r="D181" s="85" t="s">
        <v>283</v>
      </c>
      <c r="E181" s="68">
        <v>7.43</v>
      </c>
      <c r="F181" s="46">
        <f>CEILING((Updated!F183*1.06),0.5)</f>
        <v>170</v>
      </c>
      <c r="G181" s="46">
        <f t="shared" si="25"/>
        <v>62.9</v>
      </c>
      <c r="H181" s="47">
        <f t="shared" si="26"/>
        <v>0.88187599364069957</v>
      </c>
      <c r="I181" s="48">
        <f t="shared" si="27"/>
        <v>18.574999999999999</v>
      </c>
      <c r="J181" s="48">
        <f t="shared" si="28"/>
        <v>22.861538461538462</v>
      </c>
      <c r="K181" s="48">
        <f t="shared" si="29"/>
        <v>29.72</v>
      </c>
    </row>
    <row r="182" spans="2:11" ht="18.75" customHeight="1" x14ac:dyDescent="0.25">
      <c r="B182" s="42" t="s">
        <v>284</v>
      </c>
      <c r="C182" s="43">
        <v>1</v>
      </c>
      <c r="D182" s="85" t="s">
        <v>285</v>
      </c>
      <c r="E182" s="68">
        <v>4.6900000000000004</v>
      </c>
      <c r="F182" s="46">
        <f>CEILING((Updated!F184*1.06),0.5)</f>
        <v>93.5</v>
      </c>
      <c r="G182" s="46">
        <f t="shared" si="25"/>
        <v>34.594999999999999</v>
      </c>
      <c r="H182" s="47">
        <f t="shared" si="26"/>
        <v>0.86443127619598203</v>
      </c>
      <c r="I182" s="48">
        <f t="shared" si="27"/>
        <v>11.725</v>
      </c>
      <c r="J182" s="48">
        <f t="shared" si="28"/>
        <v>14.430769230769235</v>
      </c>
      <c r="K182" s="48">
        <f t="shared" si="29"/>
        <v>18.760000000000002</v>
      </c>
    </row>
    <row r="183" spans="2:11" ht="18.75" customHeight="1" x14ac:dyDescent="0.25">
      <c r="B183" s="42" t="s">
        <v>286</v>
      </c>
      <c r="C183" s="43">
        <v>1</v>
      </c>
      <c r="D183" s="85" t="s">
        <v>287</v>
      </c>
      <c r="E183" s="68">
        <v>17.98</v>
      </c>
      <c r="F183" s="46">
        <f>CEILING((Updated!F185*1.06),0.5)</f>
        <v>446</v>
      </c>
      <c r="G183" s="46">
        <f t="shared" si="25"/>
        <v>165.02</v>
      </c>
      <c r="H183" s="47">
        <f t="shared" si="26"/>
        <v>0.89104350987759062</v>
      </c>
      <c r="I183" s="48">
        <f t="shared" si="27"/>
        <v>44.949999999999996</v>
      </c>
      <c r="J183" s="48">
        <f t="shared" si="28"/>
        <v>55.323076923076933</v>
      </c>
      <c r="K183" s="48">
        <f t="shared" si="29"/>
        <v>71.92</v>
      </c>
    </row>
    <row r="184" spans="2:11" ht="18.75" customHeight="1" x14ac:dyDescent="0.25">
      <c r="B184" s="42" t="s">
        <v>288</v>
      </c>
      <c r="C184" s="43">
        <v>0.1</v>
      </c>
      <c r="D184" s="85" t="s">
        <v>289</v>
      </c>
      <c r="E184" s="68">
        <v>1.1100000000000001</v>
      </c>
      <c r="F184" s="46">
        <f>CEILING((Updated!F186*1.06),0.5)</f>
        <v>21.5</v>
      </c>
      <c r="G184" s="46">
        <f t="shared" si="25"/>
        <v>7.9550000000000001</v>
      </c>
      <c r="H184" s="47">
        <f t="shared" si="26"/>
        <v>0.86046511627906974</v>
      </c>
      <c r="I184" s="48">
        <f t="shared" si="27"/>
        <v>2.7749999999999999</v>
      </c>
      <c r="J184" s="48">
        <f t="shared" si="28"/>
        <v>3.4153846153846161</v>
      </c>
      <c r="K184" s="48">
        <f t="shared" si="29"/>
        <v>4.4400000000000004</v>
      </c>
    </row>
    <row r="185" spans="2:11" ht="18.75" customHeight="1" x14ac:dyDescent="0.25">
      <c r="B185" s="42" t="s">
        <v>290</v>
      </c>
      <c r="C185" s="43">
        <v>0.1</v>
      </c>
      <c r="D185" s="85" t="s">
        <v>291</v>
      </c>
      <c r="E185" s="68">
        <v>0.58499999999999996</v>
      </c>
      <c r="F185" s="46">
        <f>CEILING((Updated!F187*1.06),0.5)</f>
        <v>11.5</v>
      </c>
      <c r="G185" s="46">
        <f t="shared" si="25"/>
        <v>4.2549999999999999</v>
      </c>
      <c r="H185" s="47">
        <f t="shared" si="26"/>
        <v>0.86251468860164515</v>
      </c>
      <c r="I185" s="48">
        <f t="shared" si="27"/>
        <v>1.4624999999999999</v>
      </c>
      <c r="J185" s="48">
        <f t="shared" si="28"/>
        <v>1.8</v>
      </c>
      <c r="K185" s="48">
        <f t="shared" si="29"/>
        <v>2.34</v>
      </c>
    </row>
    <row r="186" spans="2:11" ht="18.75" customHeight="1" x14ac:dyDescent="0.25">
      <c r="B186" s="42" t="s">
        <v>292</v>
      </c>
      <c r="C186" s="43">
        <v>5</v>
      </c>
      <c r="D186" s="85" t="s">
        <v>293</v>
      </c>
      <c r="E186" s="68">
        <v>402.99</v>
      </c>
      <c r="F186" s="46">
        <f>CEILING((Updated!F188*1.06),0.5)</f>
        <v>5732</v>
      </c>
      <c r="G186" s="46">
        <f t="shared" si="25"/>
        <v>2120.84</v>
      </c>
      <c r="H186" s="47">
        <f t="shared" si="26"/>
        <v>0.80998566605684541</v>
      </c>
      <c r="I186" s="48">
        <f t="shared" si="27"/>
        <v>1007.475</v>
      </c>
      <c r="J186" s="48">
        <f t="shared" si="28"/>
        <v>1239.969230769231</v>
      </c>
      <c r="K186" s="48">
        <f t="shared" si="29"/>
        <v>1611.96</v>
      </c>
    </row>
    <row r="187" spans="2:11" ht="18.75" customHeight="1" x14ac:dyDescent="0.25">
      <c r="B187" s="42" t="s">
        <v>294</v>
      </c>
      <c r="C187" s="43">
        <v>1</v>
      </c>
      <c r="D187" s="85" t="s">
        <v>295</v>
      </c>
      <c r="E187" s="68">
        <v>67.183499999999995</v>
      </c>
      <c r="F187" s="46">
        <f>CEILING((Updated!F189*1.06),0.5)</f>
        <v>268</v>
      </c>
      <c r="G187" s="46">
        <f t="shared" si="25"/>
        <v>99.16</v>
      </c>
      <c r="H187" s="47">
        <f t="shared" si="26"/>
        <v>0.32247377974989916</v>
      </c>
      <c r="I187" s="48">
        <f t="shared" si="27"/>
        <v>167.95874999999998</v>
      </c>
      <c r="J187" s="48">
        <f t="shared" si="28"/>
        <v>206.71846153846155</v>
      </c>
      <c r="K187" s="48">
        <f t="shared" si="29"/>
        <v>268.73399999999998</v>
      </c>
    </row>
    <row r="188" spans="2:11" ht="18.75" customHeight="1" x14ac:dyDescent="0.25">
      <c r="B188" s="42" t="s">
        <v>296</v>
      </c>
      <c r="C188" s="43">
        <v>0.1</v>
      </c>
      <c r="D188" s="85" t="s">
        <v>297</v>
      </c>
      <c r="E188" s="68">
        <v>4.75</v>
      </c>
      <c r="F188" s="46">
        <f>CEILING((Updated!F190*1.06),0.5)</f>
        <v>27.5</v>
      </c>
      <c r="G188" s="46">
        <f t="shared" si="25"/>
        <v>10.175000000000001</v>
      </c>
      <c r="H188" s="47">
        <f t="shared" si="26"/>
        <v>0.53316953316953319</v>
      </c>
      <c r="I188" s="48">
        <f t="shared" si="27"/>
        <v>11.875</v>
      </c>
      <c r="J188" s="48">
        <f t="shared" si="28"/>
        <v>14.615384615384617</v>
      </c>
      <c r="K188" s="48">
        <f t="shared" si="29"/>
        <v>19</v>
      </c>
    </row>
    <row r="189" spans="2:11" ht="18.75" customHeight="1" x14ac:dyDescent="0.25">
      <c r="B189" s="42" t="s">
        <v>298</v>
      </c>
      <c r="C189" s="43">
        <v>1</v>
      </c>
      <c r="D189" s="85" t="s">
        <v>299</v>
      </c>
      <c r="E189" s="68">
        <v>76.211699999999993</v>
      </c>
      <c r="F189" s="46">
        <f>CEILING((Updated!F191*1.06),0.5)</f>
        <v>776</v>
      </c>
      <c r="G189" s="46">
        <f t="shared" si="25"/>
        <v>287.12</v>
      </c>
      <c r="H189" s="47">
        <f t="shared" si="26"/>
        <v>0.73456499024797994</v>
      </c>
      <c r="I189" s="48">
        <f t="shared" si="27"/>
        <v>190.52924999999996</v>
      </c>
      <c r="J189" s="48">
        <f t="shared" si="28"/>
        <v>234.49753846153848</v>
      </c>
      <c r="K189" s="48">
        <f t="shared" si="29"/>
        <v>304.84679999999997</v>
      </c>
    </row>
    <row r="190" spans="2:11" ht="18.75" customHeight="1" x14ac:dyDescent="0.25">
      <c r="B190" s="42" t="s">
        <v>300</v>
      </c>
      <c r="C190" s="43">
        <v>1.5</v>
      </c>
      <c r="D190" s="85" t="s">
        <v>301</v>
      </c>
      <c r="E190" s="68">
        <v>82.517499999999998</v>
      </c>
      <c r="F190" s="46">
        <f>CEILING((Updated!F192*1.06),0.5)</f>
        <v>1660.5</v>
      </c>
      <c r="G190" s="46">
        <f t="shared" si="25"/>
        <v>614.38499999999999</v>
      </c>
      <c r="H190" s="47">
        <f t="shared" si="26"/>
        <v>0.86569089414617861</v>
      </c>
      <c r="I190" s="48">
        <f t="shared" si="27"/>
        <v>206.29374999999999</v>
      </c>
      <c r="J190" s="48">
        <f t="shared" si="28"/>
        <v>253.90000000000003</v>
      </c>
      <c r="K190" s="48">
        <f t="shared" si="29"/>
        <v>330.07</v>
      </c>
    </row>
    <row r="191" spans="2:11" ht="18.75" customHeight="1" x14ac:dyDescent="0.25">
      <c r="B191" s="42" t="s">
        <v>302</v>
      </c>
      <c r="C191" s="43">
        <v>0.1</v>
      </c>
      <c r="D191" s="85" t="s">
        <v>303</v>
      </c>
      <c r="E191" s="68">
        <v>0.26</v>
      </c>
      <c r="F191" s="46">
        <f>CEILING((Updated!F193*1.06),0.5)</f>
        <v>7</v>
      </c>
      <c r="G191" s="46">
        <f t="shared" si="25"/>
        <v>2.59</v>
      </c>
      <c r="H191" s="47">
        <f t="shared" si="26"/>
        <v>0.8996138996138997</v>
      </c>
      <c r="I191" s="48">
        <f t="shared" si="27"/>
        <v>0.65</v>
      </c>
      <c r="J191" s="48">
        <f t="shared" si="28"/>
        <v>0.80000000000000016</v>
      </c>
      <c r="K191" s="48">
        <f t="shared" si="29"/>
        <v>1.04</v>
      </c>
    </row>
    <row r="192" spans="2:11" ht="18.75" customHeight="1" x14ac:dyDescent="0.25">
      <c r="B192" s="42" t="s">
        <v>304</v>
      </c>
      <c r="C192" s="43">
        <v>5</v>
      </c>
      <c r="D192" s="49" t="s">
        <v>305</v>
      </c>
      <c r="E192" s="119">
        <v>35.96</v>
      </c>
      <c r="F192" s="46">
        <f>CEILING((Updated!F194*1.06),0.5)</f>
        <v>580.5</v>
      </c>
      <c r="G192" s="46">
        <f t="shared" si="25"/>
        <v>214.785</v>
      </c>
      <c r="H192" s="47">
        <f t="shared" si="26"/>
        <v>0.83257676280932091</v>
      </c>
      <c r="I192" s="48">
        <f t="shared" si="27"/>
        <v>89.899999999999991</v>
      </c>
      <c r="J192" s="48">
        <f t="shared" si="28"/>
        <v>110.64615384615387</v>
      </c>
      <c r="K192" s="48">
        <f t="shared" si="29"/>
        <v>143.84</v>
      </c>
    </row>
    <row r="193" spans="1:11" ht="18.75" customHeight="1" thickBot="1" x14ac:dyDescent="0.3">
      <c r="B193" s="42" t="s">
        <v>306</v>
      </c>
      <c r="C193" s="43">
        <v>0.1</v>
      </c>
      <c r="D193" s="49" t="s">
        <v>307</v>
      </c>
      <c r="E193" s="92">
        <v>0.82399999999999995</v>
      </c>
      <c r="F193" s="46">
        <f>CEILING((Updated!F195*1.06),0.5)</f>
        <v>7</v>
      </c>
      <c r="G193" s="46">
        <f t="shared" si="25"/>
        <v>2.59</v>
      </c>
      <c r="H193" s="47">
        <f t="shared" si="26"/>
        <v>0.68185328185328187</v>
      </c>
      <c r="I193" s="48">
        <f t="shared" si="27"/>
        <v>2.0599999999999996</v>
      </c>
      <c r="J193" s="48">
        <f t="shared" si="28"/>
        <v>2.5353846153846158</v>
      </c>
      <c r="K193" s="48">
        <f t="shared" si="29"/>
        <v>3.2959999999999998</v>
      </c>
    </row>
    <row r="194" spans="1:11" ht="18.75" customHeight="1" thickBot="1" x14ac:dyDescent="0.3">
      <c r="B194" s="205"/>
      <c r="C194" s="205"/>
      <c r="D194" s="205"/>
      <c r="E194" s="205"/>
      <c r="F194" s="205"/>
      <c r="G194" s="205"/>
      <c r="H194" s="77"/>
      <c r="I194" s="117"/>
      <c r="J194" s="117"/>
      <c r="K194" s="117"/>
    </row>
    <row r="195" spans="1:11" ht="19.7" customHeight="1" thickBot="1" x14ac:dyDescent="0.3">
      <c r="B195" s="214" t="s">
        <v>308</v>
      </c>
      <c r="C195" s="214"/>
      <c r="D195" s="214"/>
      <c r="E195" s="214"/>
      <c r="F195" s="214"/>
      <c r="G195" s="214"/>
      <c r="H195" s="91"/>
      <c r="I195" s="91"/>
      <c r="J195" s="91"/>
      <c r="K195" s="91"/>
    </row>
    <row r="196" spans="1:11" ht="18.75" customHeight="1" x14ac:dyDescent="0.25">
      <c r="B196" s="42" t="s">
        <v>309</v>
      </c>
      <c r="C196" s="43">
        <v>20</v>
      </c>
      <c r="D196" s="52" t="s">
        <v>310</v>
      </c>
      <c r="E196" s="68">
        <v>405.04</v>
      </c>
      <c r="F196" s="46">
        <f>CEILING((Updated!F198*1.06),0.5)</f>
        <v>5758</v>
      </c>
      <c r="G196" s="46">
        <f>F196*$G$5</f>
        <v>2130.46</v>
      </c>
      <c r="H196" s="47">
        <f>((G196-E196)/G196)</f>
        <v>0.80988143405649482</v>
      </c>
      <c r="I196" s="48">
        <f>(($E196/(1-I$9)))</f>
        <v>1012.6</v>
      </c>
      <c r="J196" s="48">
        <f>(($E196/(1-$J$9)))</f>
        <v>1246.2769230769234</v>
      </c>
      <c r="K196" s="48">
        <f>(($E196/(1-K$9)))</f>
        <v>1620.16</v>
      </c>
    </row>
    <row r="197" spans="1:11" ht="18.75" customHeight="1" thickBot="1" x14ac:dyDescent="0.3">
      <c r="B197" s="42" t="s">
        <v>311</v>
      </c>
      <c r="C197" s="43">
        <v>50</v>
      </c>
      <c r="D197" s="96" t="s">
        <v>312</v>
      </c>
      <c r="E197" s="92">
        <v>303.65679999999998</v>
      </c>
      <c r="F197" s="46">
        <f>CEILING((Updated!F199*1.06),0.5)</f>
        <v>5758</v>
      </c>
      <c r="G197" s="46">
        <f>F197*$G$5</f>
        <v>2130.46</v>
      </c>
      <c r="H197" s="47">
        <f>((G197-E197)/G197)</f>
        <v>0.85746890342930637</v>
      </c>
      <c r="I197" s="48">
        <f>(($E197/(1-I$9)))</f>
        <v>759.14199999999994</v>
      </c>
      <c r="J197" s="48">
        <f>(($E197/(1-$J$9)))</f>
        <v>934.32861538461543</v>
      </c>
      <c r="K197" s="48">
        <f>(($E197/(1-K$9)))</f>
        <v>1214.6271999999999</v>
      </c>
    </row>
    <row r="198" spans="1:11" ht="18.75" customHeight="1" thickBot="1" x14ac:dyDescent="0.3">
      <c r="B198" s="205"/>
      <c r="C198" s="205"/>
      <c r="D198" s="205"/>
      <c r="E198" s="205"/>
      <c r="F198" s="205"/>
      <c r="G198" s="205"/>
      <c r="H198" s="77"/>
      <c r="I198" s="117"/>
      <c r="J198" s="117"/>
      <c r="K198" s="117"/>
    </row>
    <row r="199" spans="1:11" ht="19.7" customHeight="1" thickBot="1" x14ac:dyDescent="0.3">
      <c r="B199" s="214" t="s">
        <v>313</v>
      </c>
      <c r="C199" s="214"/>
      <c r="D199" s="214"/>
      <c r="E199" s="214"/>
      <c r="F199" s="214"/>
      <c r="G199" s="214"/>
      <c r="H199" s="91"/>
      <c r="I199" s="91"/>
      <c r="J199" s="91"/>
      <c r="K199" s="91"/>
    </row>
    <row r="200" spans="1:11" ht="18.75" customHeight="1" x14ac:dyDescent="0.25">
      <c r="B200" s="124" t="s">
        <v>314</v>
      </c>
      <c r="C200" s="125" t="s">
        <v>315</v>
      </c>
      <c r="D200" s="126" t="s">
        <v>316</v>
      </c>
      <c r="E200" s="127"/>
      <c r="F200" s="128">
        <v>3000</v>
      </c>
      <c r="G200" s="46">
        <f>F200</f>
        <v>3000</v>
      </c>
      <c r="H200" s="47">
        <f>((G200-E200)/G200)</f>
        <v>1</v>
      </c>
      <c r="I200" s="48">
        <f>(($E200/(1-I$9)))</f>
        <v>0</v>
      </c>
      <c r="J200" s="48">
        <f>(($E200/(1-$J$9)))</f>
        <v>0</v>
      </c>
      <c r="K200" s="48">
        <f>(($E200/(1-K$9)))</f>
        <v>0</v>
      </c>
    </row>
    <row r="201" spans="1:11" ht="18.75" customHeight="1" thickBot="1" x14ac:dyDescent="0.3">
      <c r="B201" s="129" t="s">
        <v>317</v>
      </c>
      <c r="C201" s="130" t="s">
        <v>315</v>
      </c>
      <c r="D201" s="131" t="s">
        <v>316</v>
      </c>
      <c r="E201" s="132"/>
      <c r="F201" s="133">
        <v>1500</v>
      </c>
      <c r="G201" s="46">
        <f>F201</f>
        <v>1500</v>
      </c>
      <c r="H201" s="47">
        <f>((G201-E201)/G201)</f>
        <v>1</v>
      </c>
      <c r="I201" s="48">
        <f>(($E201/(1-I$9)))</f>
        <v>0</v>
      </c>
      <c r="J201" s="48">
        <f>(($E201/(1-$J$9)))</f>
        <v>0</v>
      </c>
      <c r="K201" s="48">
        <f>(($E201/(1-K$9)))</f>
        <v>0</v>
      </c>
    </row>
    <row r="202" spans="1:11" ht="18.75" customHeight="1" x14ac:dyDescent="0.25"/>
    <row r="203" spans="1:11" ht="18.75" customHeight="1" x14ac:dyDescent="0.25">
      <c r="A203" s="134" t="s">
        <v>318</v>
      </c>
    </row>
    <row r="204" spans="1:11" ht="18.75" customHeight="1" thickBot="1" x14ac:dyDescent="0.3"/>
    <row r="205" spans="1:11" ht="18.75" customHeight="1" x14ac:dyDescent="0.25">
      <c r="B205" s="217" t="s">
        <v>319</v>
      </c>
      <c r="C205" s="217"/>
      <c r="D205" s="217"/>
      <c r="E205" s="217"/>
      <c r="F205" s="217"/>
      <c r="G205" s="217"/>
      <c r="H205" s="91"/>
      <c r="I205" s="91"/>
      <c r="J205" s="91"/>
      <c r="K205" s="91"/>
    </row>
    <row r="206" spans="1:11" ht="18.75" customHeight="1" x14ac:dyDescent="0.25">
      <c r="A206" t="s">
        <v>142</v>
      </c>
      <c r="B206" s="135" t="s">
        <v>320</v>
      </c>
      <c r="C206" s="136"/>
      <c r="D206" s="137" t="s">
        <v>321</v>
      </c>
      <c r="E206" s="138">
        <v>5334.9320399999997</v>
      </c>
      <c r="F206" s="139">
        <v>28837.5</v>
      </c>
      <c r="G206" s="90">
        <f t="shared" ref="G206:G213" si="30">F206*$G$5</f>
        <v>10669.875</v>
      </c>
      <c r="H206" s="47">
        <f t="shared" ref="H206:H213" si="31">((G206-E206)/G206)</f>
        <v>0.50000051172108395</v>
      </c>
      <c r="I206" s="48">
        <f t="shared" ref="I206:I213" si="32">(($E206/(1-I$9)))</f>
        <v>13337.330099999999</v>
      </c>
      <c r="J206" s="48">
        <f t="shared" ref="J206:J213" si="33">(($E206/(1-$J$9)))</f>
        <v>16415.175507692307</v>
      </c>
      <c r="K206" s="48">
        <f t="shared" ref="K206:K213" si="34">(($E206/(1-K$9)))</f>
        <v>21339.728159999999</v>
      </c>
    </row>
    <row r="207" spans="1:11" ht="18.75" customHeight="1" x14ac:dyDescent="0.25">
      <c r="A207" t="s">
        <v>142</v>
      </c>
      <c r="B207" s="135" t="s">
        <v>322</v>
      </c>
      <c r="C207" s="136"/>
      <c r="D207" s="137" t="s">
        <v>323</v>
      </c>
      <c r="E207" s="138">
        <v>5333.2400399999997</v>
      </c>
      <c r="F207" s="139">
        <v>28828.5</v>
      </c>
      <c r="G207" s="90">
        <f t="shared" si="30"/>
        <v>10666.545</v>
      </c>
      <c r="H207" s="47">
        <f t="shared" si="31"/>
        <v>0.50000304315971111</v>
      </c>
      <c r="I207" s="48">
        <f t="shared" si="32"/>
        <v>13333.100099999998</v>
      </c>
      <c r="J207" s="48">
        <f t="shared" si="33"/>
        <v>16409.969353846154</v>
      </c>
      <c r="K207" s="48">
        <f t="shared" si="34"/>
        <v>21332.960159999999</v>
      </c>
    </row>
    <row r="208" spans="1:11" ht="18.75" customHeight="1" x14ac:dyDescent="0.25">
      <c r="A208" t="s">
        <v>142</v>
      </c>
      <c r="B208" s="135" t="s">
        <v>324</v>
      </c>
      <c r="C208" s="136"/>
      <c r="D208" s="137" t="s">
        <v>325</v>
      </c>
      <c r="E208" s="138">
        <v>5339.8853399999998</v>
      </c>
      <c r="F208" s="139">
        <v>28864.5</v>
      </c>
      <c r="G208" s="90">
        <f t="shared" si="30"/>
        <v>10679.865</v>
      </c>
      <c r="H208" s="47">
        <f t="shared" si="31"/>
        <v>0.50000441578615462</v>
      </c>
      <c r="I208" s="48">
        <f t="shared" si="32"/>
        <v>13349.713349999998</v>
      </c>
      <c r="J208" s="48">
        <f t="shared" si="33"/>
        <v>16430.416430769234</v>
      </c>
      <c r="K208" s="48">
        <f t="shared" si="34"/>
        <v>21359.541359999999</v>
      </c>
    </row>
    <row r="209" spans="1:11" ht="18.75" customHeight="1" x14ac:dyDescent="0.25">
      <c r="A209" t="s">
        <v>142</v>
      </c>
      <c r="B209" s="135" t="s">
        <v>326</v>
      </c>
      <c r="C209" s="136"/>
      <c r="D209" s="137" t="s">
        <v>327</v>
      </c>
      <c r="E209" s="138">
        <v>5338.1933399999998</v>
      </c>
      <c r="F209" s="139">
        <v>28855.5</v>
      </c>
      <c r="G209" s="90">
        <f t="shared" si="30"/>
        <v>10676.535</v>
      </c>
      <c r="H209" s="47">
        <f t="shared" si="31"/>
        <v>0.50000694607379648</v>
      </c>
      <c r="I209" s="48">
        <f t="shared" si="32"/>
        <v>13345.483349999999</v>
      </c>
      <c r="J209" s="48">
        <f t="shared" si="33"/>
        <v>16425.210276923077</v>
      </c>
      <c r="K209" s="48">
        <f t="shared" si="34"/>
        <v>21352.773359999999</v>
      </c>
    </row>
    <row r="210" spans="1:11" ht="18.75" customHeight="1" x14ac:dyDescent="0.25">
      <c r="A210" t="s">
        <v>142</v>
      </c>
      <c r="B210" s="135" t="s">
        <v>328</v>
      </c>
      <c r="C210" s="136"/>
      <c r="D210" s="137" t="s">
        <v>329</v>
      </c>
      <c r="E210" s="138">
        <v>5558.3598300000003</v>
      </c>
      <c r="F210" s="139">
        <v>30045.5</v>
      </c>
      <c r="G210" s="90">
        <f t="shared" si="30"/>
        <v>11116.834999999999</v>
      </c>
      <c r="H210" s="47">
        <f t="shared" si="31"/>
        <v>0.50000518762759361</v>
      </c>
      <c r="I210" s="48">
        <f t="shared" si="32"/>
        <v>13895.899574999999</v>
      </c>
      <c r="J210" s="48">
        <f t="shared" si="33"/>
        <v>17102.645630769235</v>
      </c>
      <c r="K210" s="48">
        <f t="shared" si="34"/>
        <v>22233.439320000001</v>
      </c>
    </row>
    <row r="211" spans="1:11" ht="18.75" customHeight="1" x14ac:dyDescent="0.25">
      <c r="A211" t="s">
        <v>142</v>
      </c>
      <c r="B211" s="135" t="s">
        <v>330</v>
      </c>
      <c r="C211" s="136"/>
      <c r="D211" s="137" t="s">
        <v>331</v>
      </c>
      <c r="E211" s="138">
        <v>5556.6678300000003</v>
      </c>
      <c r="F211" s="139">
        <v>30036.5</v>
      </c>
      <c r="G211" s="90">
        <f t="shared" si="30"/>
        <v>11113.504999999999</v>
      </c>
      <c r="H211" s="47">
        <f t="shared" si="31"/>
        <v>0.50000761865855992</v>
      </c>
      <c r="I211" s="48">
        <f t="shared" si="32"/>
        <v>13891.669575</v>
      </c>
      <c r="J211" s="48">
        <f t="shared" si="33"/>
        <v>17097.439476923078</v>
      </c>
      <c r="K211" s="48">
        <f t="shared" si="34"/>
        <v>22226.671320000001</v>
      </c>
    </row>
    <row r="212" spans="1:11" ht="18.75" customHeight="1" x14ac:dyDescent="0.25">
      <c r="A212" t="s">
        <v>142</v>
      </c>
      <c r="B212" s="135" t="s">
        <v>332</v>
      </c>
      <c r="C212" s="136"/>
      <c r="D212" s="137" t="s">
        <v>333</v>
      </c>
      <c r="E212" s="138">
        <v>5554.9758300000003</v>
      </c>
      <c r="F212" s="139">
        <v>30027</v>
      </c>
      <c r="G212" s="90">
        <f t="shared" si="30"/>
        <v>11109.99</v>
      </c>
      <c r="H212" s="47">
        <f t="shared" si="31"/>
        <v>0.50000172547410027</v>
      </c>
      <c r="I212" s="48">
        <f t="shared" si="32"/>
        <v>13887.439575</v>
      </c>
      <c r="J212" s="48">
        <f t="shared" si="33"/>
        <v>17092.233323076925</v>
      </c>
      <c r="K212" s="48">
        <f t="shared" si="34"/>
        <v>22219.903320000001</v>
      </c>
    </row>
    <row r="213" spans="1:11" ht="18.75" customHeight="1" x14ac:dyDescent="0.25">
      <c r="A213" t="s">
        <v>142</v>
      </c>
      <c r="B213" s="135" t="s">
        <v>334</v>
      </c>
      <c r="C213" s="136"/>
      <c r="D213" s="137" t="s">
        <v>335</v>
      </c>
      <c r="E213" s="138">
        <v>5553.2835999999998</v>
      </c>
      <c r="F213" s="139">
        <v>30018</v>
      </c>
      <c r="G213" s="90">
        <f t="shared" si="30"/>
        <v>11106.66</v>
      </c>
      <c r="H213" s="47">
        <f t="shared" si="31"/>
        <v>0.50000417767357608</v>
      </c>
      <c r="I213" s="48">
        <f t="shared" si="32"/>
        <v>13883.208999999999</v>
      </c>
      <c r="J213" s="48">
        <f t="shared" si="33"/>
        <v>17087.026461538462</v>
      </c>
      <c r="K213" s="48">
        <f t="shared" si="34"/>
        <v>22213.134399999999</v>
      </c>
    </row>
    <row r="214" spans="1:11" ht="18.75" customHeight="1" x14ac:dyDescent="0.25"/>
    <row r="215" spans="1:11" ht="18.75" customHeight="1" x14ac:dyDescent="0.25"/>
    <row r="216" spans="1:11" ht="18.75" customHeight="1" x14ac:dyDescent="0.25"/>
    <row r="217" spans="1:11" ht="18.75" customHeight="1" x14ac:dyDescent="0.25"/>
    <row r="218" spans="1:11" ht="18.75" customHeight="1" x14ac:dyDescent="0.25"/>
    <row r="219" spans="1:11" ht="18.75" customHeight="1" x14ac:dyDescent="0.25"/>
    <row r="220" spans="1:11" ht="18.75" customHeight="1" x14ac:dyDescent="0.25"/>
    <row r="221" spans="1:11" ht="18.75" customHeight="1" x14ac:dyDescent="0.25"/>
    <row r="222" spans="1:11" ht="18.75" customHeight="1" x14ac:dyDescent="0.25"/>
  </sheetData>
  <conditionalFormatting sqref="B32 B50 B68:B69 B77:B78 B59 B65 B74 B159:D1048576 B83:D131 B51:D58">
    <cfRule type="expression" dxfId="73" priority="41">
      <formula>$B32="not found"</formula>
    </cfRule>
  </conditionalFormatting>
  <conditionalFormatting sqref="B59 B65">
    <cfRule type="containsText" dxfId="72" priority="37" operator="containsText" text="not found">
      <formula>NOT(ISERROR(SEARCH("not found",B59)))</formula>
    </cfRule>
  </conditionalFormatting>
  <conditionalFormatting sqref="B80 B82 B132 B79:D79 B133:D134">
    <cfRule type="expression" dxfId="71" priority="38">
      <formula>$B79="not found"</formula>
    </cfRule>
  </conditionalFormatting>
  <conditionalFormatting sqref="B80 B82 B132">
    <cfRule type="containsText" dxfId="70" priority="35" operator="containsText" text="not found">
      <formula>NOT(ISERROR(SEARCH("not found",B80)))</formula>
    </cfRule>
  </conditionalFormatting>
  <conditionalFormatting sqref="B140">
    <cfRule type="containsText" dxfId="69" priority="31" operator="containsText" text="not found">
      <formula>NOT(ISERROR(SEARCH("not found",B140)))</formula>
    </cfRule>
    <cfRule type="expression" dxfId="68" priority="32">
      <formula>$B140="not found"</formula>
    </cfRule>
  </conditionalFormatting>
  <conditionalFormatting sqref="B1:D27 B28:B29 B30:D31 B33:D49 B135 B60:D64 B66:D67 B70:D73 B75:D76 B81:D81 B141:D157 B158">
    <cfRule type="expression" dxfId="67" priority="40">
      <formula>$B1="not found"</formula>
    </cfRule>
  </conditionalFormatting>
  <conditionalFormatting sqref="B136:D139">
    <cfRule type="expression" dxfId="66" priority="33">
      <formula>$B136="not found"</formula>
    </cfRule>
  </conditionalFormatting>
  <conditionalFormatting sqref="B60:G64">
    <cfRule type="containsText" dxfId="65" priority="24" operator="containsText" text="not found">
      <formula>NOT(ISERROR(SEARCH("not found",B60)))</formula>
    </cfRule>
  </conditionalFormatting>
  <conditionalFormatting sqref="B66:G68">
    <cfRule type="containsText" dxfId="64" priority="23" operator="containsText" text="not found">
      <formula>NOT(ISERROR(SEARCH("not found",B66)))</formula>
    </cfRule>
  </conditionalFormatting>
  <conditionalFormatting sqref="B79:G79 B133:G134 B27:H31 B139:G139 B7:K26 B32 B33:H49 B50 H60:H68 B69 B78 B135">
    <cfRule type="containsText" dxfId="63" priority="39" operator="containsText" text="not found">
      <formula>NOT(ISERROR(SEARCH("not found",B7)))</formula>
    </cfRule>
  </conditionalFormatting>
  <conditionalFormatting sqref="B136:G138">
    <cfRule type="containsText" dxfId="62" priority="10" operator="containsText" text="not found">
      <formula>NOT(ISERROR(SEARCH("not found",B136)))</formula>
    </cfRule>
  </conditionalFormatting>
  <conditionalFormatting sqref="B51:H58">
    <cfRule type="containsText" dxfId="61" priority="1" operator="containsText" text="not found">
      <formula>NOT(ISERROR(SEARCH("not found",B51)))</formula>
    </cfRule>
  </conditionalFormatting>
  <conditionalFormatting sqref="B70:H73">
    <cfRule type="containsText" dxfId="60" priority="22" operator="containsText" text="not found">
      <formula>NOT(ISERROR(SEARCH("not found",B70)))</formula>
    </cfRule>
  </conditionalFormatting>
  <conditionalFormatting sqref="B75:H77">
    <cfRule type="containsText" dxfId="59" priority="21" operator="containsText" text="not found">
      <formula>NOT(ISERROR(SEARCH("not found",B75)))</formula>
    </cfRule>
  </conditionalFormatting>
  <conditionalFormatting sqref="B81:H81">
    <cfRule type="containsText" dxfId="58" priority="18" operator="containsText" text="not found">
      <formula>NOT(ISERROR(SEARCH("not found",B81)))</formula>
    </cfRule>
  </conditionalFormatting>
  <conditionalFormatting sqref="B83:H131">
    <cfRule type="containsText" dxfId="57" priority="11" operator="containsText" text="not found">
      <formula>NOT(ISERROR(SEARCH("not found",B83)))</formula>
    </cfRule>
  </conditionalFormatting>
  <conditionalFormatting sqref="B141:H201">
    <cfRule type="containsText" dxfId="56" priority="2" operator="containsText" text="not found">
      <formula>NOT(ISERROR(SEARCH("not found",B141)))</formula>
    </cfRule>
  </conditionalFormatting>
  <conditionalFormatting sqref="B205:K213">
    <cfRule type="containsText" dxfId="55" priority="25" operator="containsText" text="not found">
      <formula>NOT(ISERROR(SEARCH("not found",B205)))</formula>
    </cfRule>
  </conditionalFormatting>
  <conditionalFormatting sqref="C28:D28">
    <cfRule type="expression" dxfId="54" priority="43">
      <formula>#REF!="not found"</formula>
    </cfRule>
  </conditionalFormatting>
  <conditionalFormatting sqref="C29:D29">
    <cfRule type="expression" dxfId="53" priority="42">
      <formula>$B28="not found"</formula>
    </cfRule>
  </conditionalFormatting>
  <conditionalFormatting sqref="D28:D29">
    <cfRule type="expression" dxfId="52" priority="34">
      <formula>$B28="not found"</formula>
    </cfRule>
  </conditionalFormatting>
  <conditionalFormatting sqref="H79 H133:H134 H136:H139">
    <cfRule type="containsText" dxfId="51" priority="29" operator="containsText" text="not found">
      <formula>NOT(ISERROR(SEARCH("not found",H79)))</formula>
    </cfRule>
  </conditionalFormatting>
  <conditionalFormatting sqref="I27:K201 B74">
    <cfRule type="containsText" dxfId="50" priority="36" operator="containsText" text="not found">
      <formula>NOT(ISERROR(SEARCH("not found",B27)))</formula>
    </cfRule>
  </conditionalFormatting>
  <dataValidations disablePrompts="1" count="1">
    <dataValidation type="whole" allowBlank="1" showInputMessage="1" showErrorMessage="1" errorTitle="Exceeds Maximum Quantity" error="Maximum quantity is 1." promptTitle="First Day Site Support" prompt="User could only enter a 1" sqref="E200" xr:uid="{4807B0EB-9AD3-4576-B050-B3038D30EBAC}">
      <formula1>0</formula1>
      <formula2>1</formula2>
    </dataValidation>
  </dataValidations>
  <pageMargins left="0" right="0" top="0" bottom="0" header="0.511811023622047" footer="0.511811023622047"/>
  <pageSetup fitToHeight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24"/>
  <sheetViews>
    <sheetView zoomScale="90" zoomScaleNormal="90" workbookViewId="0">
      <pane ySplit="7" topLeftCell="A8" activePane="bottomLeft" state="frozen"/>
      <selection pane="bottomLeft" activeCell="F1" sqref="F1"/>
    </sheetView>
  </sheetViews>
  <sheetFormatPr defaultColWidth="8.7109375" defaultRowHeight="15" x14ac:dyDescent="0.25"/>
  <cols>
    <col min="1" max="1" width="6.28515625" customWidth="1"/>
    <col min="2" max="2" width="74.85546875" customWidth="1"/>
    <col min="3" max="3" width="9.5703125" style="1" customWidth="1"/>
    <col min="4" max="4" width="27.140625" customWidth="1"/>
    <col min="5" max="7" width="14.42578125" customWidth="1"/>
    <col min="8" max="8" width="14.42578125" style="2" customWidth="1"/>
    <col min="9" max="11" width="14.42578125" customWidth="1"/>
    <col min="12" max="12" width="1" style="3" customWidth="1"/>
    <col min="13" max="13" width="11.5703125" customWidth="1"/>
  </cols>
  <sheetData>
    <row r="1" spans="2:13" ht="67.5" customHeight="1" x14ac:dyDescent="0.25">
      <c r="B1" s="412" t="s">
        <v>0</v>
      </c>
      <c r="C1" s="412"/>
      <c r="D1" s="4"/>
      <c r="E1" s="4"/>
      <c r="F1" s="5"/>
      <c r="G1" s="6"/>
      <c r="H1" s="7"/>
      <c r="I1" s="6"/>
      <c r="J1" s="6"/>
      <c r="K1" s="6"/>
    </row>
    <row r="2" spans="2:13" ht="19.7" customHeight="1" x14ac:dyDescent="0.3">
      <c r="B2" s="413" t="s">
        <v>1</v>
      </c>
      <c r="C2" s="413"/>
      <c r="D2" s="4"/>
      <c r="E2" s="4"/>
      <c r="F2" s="5"/>
      <c r="G2" s="6"/>
      <c r="H2" s="7"/>
      <c r="I2" s="6"/>
      <c r="J2" s="6"/>
      <c r="K2" s="6"/>
    </row>
    <row r="3" spans="2:13" ht="19.5" customHeight="1" x14ac:dyDescent="0.25">
      <c r="B3" s="8"/>
      <c r="C3" s="9"/>
      <c r="D3" s="4"/>
      <c r="E3" s="4"/>
      <c r="F3" s="5"/>
      <c r="G3" s="6"/>
      <c r="H3" s="7"/>
      <c r="I3" s="6"/>
      <c r="J3" s="6"/>
      <c r="K3" s="6"/>
    </row>
    <row r="4" spans="2:13" x14ac:dyDescent="0.25">
      <c r="B4" s="10"/>
      <c r="C4" s="11"/>
      <c r="D4" s="4"/>
      <c r="E4" s="12"/>
      <c r="F4" s="8"/>
      <c r="G4" s="13" t="s">
        <v>2</v>
      </c>
      <c r="H4" s="14"/>
      <c r="I4" s="13"/>
      <c r="J4" s="13"/>
      <c r="K4" s="13"/>
    </row>
    <row r="5" spans="2:13" x14ac:dyDescent="0.25">
      <c r="B5" s="15" t="s">
        <v>3</v>
      </c>
      <c r="C5" s="16" t="s">
        <v>4</v>
      </c>
      <c r="E5" s="17"/>
      <c r="G5" s="18">
        <v>0.37</v>
      </c>
      <c r="H5" s="19"/>
      <c r="I5" s="19"/>
      <c r="J5" s="19"/>
      <c r="K5" s="19"/>
    </row>
    <row r="6" spans="2:13" ht="15.75" x14ac:dyDescent="0.25">
      <c r="B6" s="20"/>
      <c r="C6" s="21"/>
      <c r="D6" s="20"/>
      <c r="E6" s="20"/>
      <c r="F6" s="20"/>
      <c r="G6" s="20"/>
      <c r="H6" s="22"/>
      <c r="I6" s="20"/>
      <c r="J6" s="20"/>
      <c r="K6" s="20"/>
    </row>
    <row r="7" spans="2:13" ht="26.25" x14ac:dyDescent="0.25">
      <c r="B7" s="23" t="s">
        <v>5</v>
      </c>
      <c r="C7" s="24" t="s">
        <v>6</v>
      </c>
      <c r="D7" s="25" t="s">
        <v>7</v>
      </c>
      <c r="E7" s="26" t="s">
        <v>8</v>
      </c>
      <c r="F7" s="27" t="s">
        <v>9</v>
      </c>
      <c r="G7" s="28" t="s">
        <v>10</v>
      </c>
      <c r="H7" s="29" t="s">
        <v>11</v>
      </c>
      <c r="I7" s="30" t="s">
        <v>12</v>
      </c>
      <c r="J7" s="30" t="s">
        <v>13</v>
      </c>
      <c r="K7" s="30" t="s">
        <v>14</v>
      </c>
      <c r="M7" s="31"/>
    </row>
    <row r="8" spans="2:13" ht="9.75" customHeight="1" x14ac:dyDescent="0.25">
      <c r="B8" s="32"/>
      <c r="C8" s="33"/>
      <c r="D8" s="34"/>
      <c r="E8" s="35"/>
      <c r="F8" s="36"/>
      <c r="G8" s="37"/>
      <c r="H8" s="38"/>
      <c r="I8" s="39"/>
      <c r="J8" s="39"/>
      <c r="K8" s="39"/>
    </row>
    <row r="9" spans="2:13" ht="18.75" customHeight="1" x14ac:dyDescent="0.25">
      <c r="B9" s="408" t="s">
        <v>15</v>
      </c>
      <c r="C9" s="408"/>
      <c r="D9" s="408"/>
      <c r="E9" s="408"/>
      <c r="F9" s="408"/>
      <c r="G9" s="408"/>
      <c r="H9" s="40"/>
      <c r="I9" s="40">
        <v>0.6</v>
      </c>
      <c r="J9" s="40">
        <v>0.67500000000000004</v>
      </c>
      <c r="K9" s="40">
        <v>0.75</v>
      </c>
    </row>
    <row r="10" spans="2:13" ht="18.75" customHeight="1" x14ac:dyDescent="0.25">
      <c r="B10" s="400" t="s">
        <v>16</v>
      </c>
      <c r="C10" s="400"/>
      <c r="D10" s="400"/>
      <c r="E10" s="400"/>
      <c r="F10" s="400"/>
      <c r="G10" s="400"/>
      <c r="H10" s="41"/>
      <c r="I10" s="41"/>
      <c r="J10" s="41"/>
      <c r="K10" s="41"/>
    </row>
    <row r="11" spans="2:13" ht="18.75" customHeight="1" x14ac:dyDescent="0.25">
      <c r="B11" s="42" t="s">
        <v>17</v>
      </c>
      <c r="C11" s="43">
        <v>1</v>
      </c>
      <c r="D11" s="44" t="s">
        <v>18</v>
      </c>
      <c r="E11" s="45">
        <v>195.71</v>
      </c>
      <c r="F11" s="46">
        <f>CEILING((Master!F13*1.06),0.5)</f>
        <v>2817</v>
      </c>
      <c r="G11" s="46">
        <f>F11*$G$5</f>
        <v>1042.29</v>
      </c>
      <c r="H11" s="47">
        <f>((G11-E11)/G11)</f>
        <v>0.81223076111255021</v>
      </c>
      <c r="I11" s="48">
        <f>(($E11/(1-$I9)))</f>
        <v>489.27499999999998</v>
      </c>
      <c r="J11" s="48">
        <f>(($E11/(1-$J$9)))</f>
        <v>602.18461538461554</v>
      </c>
      <c r="K11" s="48">
        <f>(($E11/(1-$K9)))</f>
        <v>782.84</v>
      </c>
    </row>
    <row r="12" spans="2:13" ht="18.75" customHeight="1" x14ac:dyDescent="0.25">
      <c r="B12" s="42" t="s">
        <v>19</v>
      </c>
      <c r="C12" s="43">
        <v>1</v>
      </c>
      <c r="D12" s="49" t="s">
        <v>20</v>
      </c>
      <c r="E12" s="50">
        <v>171.53399999999999</v>
      </c>
      <c r="F12" s="46">
        <f>CEILING((Master!F14*1.06),0.5)</f>
        <v>2711.5</v>
      </c>
      <c r="G12" s="46">
        <f>F12*$G$5</f>
        <v>1003.255</v>
      </c>
      <c r="H12" s="47">
        <f>((G12-E12)/G12)</f>
        <v>0.8290225316594485</v>
      </c>
      <c r="I12" s="48">
        <f>(($E12/(1-$I$9)))</f>
        <v>428.83499999999998</v>
      </c>
      <c r="J12" s="48">
        <f>(($E12/(1-$J$9)))</f>
        <v>527.79692307692312</v>
      </c>
      <c r="K12" s="48">
        <f>(($E12/(1-$K$9)))</f>
        <v>686.13599999999997</v>
      </c>
    </row>
    <row r="13" spans="2:13" ht="18.75" customHeight="1" x14ac:dyDescent="0.25">
      <c r="B13" s="398" t="s">
        <v>21</v>
      </c>
      <c r="C13" s="398"/>
      <c r="D13" s="398"/>
      <c r="E13" s="398"/>
      <c r="F13" s="398"/>
      <c r="G13" s="398"/>
      <c r="H13" s="51"/>
      <c r="I13" s="48"/>
      <c r="J13" s="48"/>
      <c r="K13" s="48"/>
    </row>
    <row r="14" spans="2:13" ht="18.75" customHeight="1" x14ac:dyDescent="0.25">
      <c r="B14" s="42" t="s">
        <v>22</v>
      </c>
      <c r="C14" s="43">
        <v>1</v>
      </c>
      <c r="D14" s="52" t="s">
        <v>23</v>
      </c>
      <c r="E14" s="45">
        <v>160.1174</v>
      </c>
      <c r="F14" s="46">
        <f>CEILING((Master!F16*1.06),0.5)</f>
        <v>3144</v>
      </c>
      <c r="G14" s="46">
        <f>F14*$G$5</f>
        <v>1163.28</v>
      </c>
      <c r="H14" s="47">
        <f>((G14-E14)/G14)</f>
        <v>0.86235695619283403</v>
      </c>
      <c r="I14" s="48">
        <f>(($E14/(1-I$9)))</f>
        <v>400.29349999999999</v>
      </c>
      <c r="J14" s="48">
        <f>(($E14/(1-$J$9)))</f>
        <v>492.66892307692314</v>
      </c>
      <c r="K14" s="48">
        <f>(($E14/(1-K$9)))</f>
        <v>640.46960000000001</v>
      </c>
    </row>
    <row r="15" spans="2:13" ht="18.75" customHeight="1" x14ac:dyDescent="0.25">
      <c r="B15" s="42" t="s">
        <v>24</v>
      </c>
      <c r="C15" s="43">
        <v>1</v>
      </c>
      <c r="D15" s="52" t="s">
        <v>25</v>
      </c>
      <c r="E15" s="45">
        <v>241.4136</v>
      </c>
      <c r="F15" s="46">
        <f>CEILING((Master!F18*1.06),0.5)</f>
        <v>2816.5</v>
      </c>
      <c r="G15" s="46">
        <f>F15*$G$5</f>
        <v>1042.105</v>
      </c>
      <c r="H15" s="47">
        <f>((G15-E15)/G15)</f>
        <v>0.76834042634859256</v>
      </c>
      <c r="I15" s="48">
        <f>(($E15/(1-$I$9)))</f>
        <v>603.53399999999999</v>
      </c>
      <c r="J15" s="48">
        <f>(($E15/(1-$J$9)))</f>
        <v>742.81107692307705</v>
      </c>
      <c r="K15" s="48">
        <f>(($E15/(1-$K$9)))</f>
        <v>965.65440000000001</v>
      </c>
    </row>
    <row r="16" spans="2:13" ht="18.75" customHeight="1" x14ac:dyDescent="0.25">
      <c r="B16" s="409" t="s">
        <v>26</v>
      </c>
      <c r="C16" s="409"/>
      <c r="D16" s="409"/>
      <c r="E16" s="409"/>
      <c r="F16" s="409"/>
      <c r="G16" s="409"/>
      <c r="H16" s="51"/>
      <c r="I16" s="48"/>
      <c r="J16" s="48"/>
      <c r="K16" s="48"/>
    </row>
    <row r="17" spans="2:11" ht="18.75" customHeight="1" x14ac:dyDescent="0.25">
      <c r="B17" s="53" t="s">
        <v>27</v>
      </c>
      <c r="C17" s="54">
        <v>1</v>
      </c>
      <c r="D17" s="44" t="s">
        <v>28</v>
      </c>
      <c r="E17" s="55">
        <v>52.320099999999996</v>
      </c>
      <c r="F17" s="56">
        <v>1257</v>
      </c>
      <c r="G17" s="57">
        <f>F17*$G$5</f>
        <v>465.09</v>
      </c>
      <c r="H17" s="47">
        <f>((G17-E17)/G17)</f>
        <v>0.88750542905674179</v>
      </c>
      <c r="I17" s="48">
        <f>(($E17/(1-I$9)))</f>
        <v>130.80024999999998</v>
      </c>
      <c r="J17" s="48">
        <f>(($E17/(1-$J$9)))</f>
        <v>160.98492307692308</v>
      </c>
      <c r="K17" s="48">
        <f>(($E17/(1-K$9)))</f>
        <v>209.28039999999999</v>
      </c>
    </row>
    <row r="18" spans="2:11" ht="18.75" customHeight="1" x14ac:dyDescent="0.25">
      <c r="B18" s="53" t="s">
        <v>29</v>
      </c>
      <c r="C18" s="54">
        <v>1</v>
      </c>
      <c r="D18" s="44" t="s">
        <v>30</v>
      </c>
      <c r="E18" s="55">
        <v>34.543799999999997</v>
      </c>
      <c r="F18" s="58">
        <v>1191</v>
      </c>
      <c r="G18" s="57">
        <f>F18*$G$5</f>
        <v>440.67</v>
      </c>
      <c r="H18" s="47">
        <f>((G18-E18)/G18)</f>
        <v>0.92161072911702635</v>
      </c>
      <c r="I18" s="48">
        <f>(($E18/(1-I$9)))</f>
        <v>86.359499999999983</v>
      </c>
      <c r="J18" s="48">
        <f>(($E18/(1-$J$9)))</f>
        <v>106.2886153846154</v>
      </c>
      <c r="K18" s="48">
        <f>(($E18/(1-K$9)))</f>
        <v>138.17519999999999</v>
      </c>
    </row>
    <row r="19" spans="2:11" ht="18.75" customHeight="1" x14ac:dyDescent="0.25">
      <c r="B19" s="53" t="s">
        <v>31</v>
      </c>
      <c r="C19" s="54">
        <v>1</v>
      </c>
      <c r="D19" s="44" t="s">
        <v>32</v>
      </c>
      <c r="E19" s="55">
        <v>51.854239999999997</v>
      </c>
      <c r="F19" s="56">
        <v>1257</v>
      </c>
      <c r="G19" s="57">
        <f>F19*$G$5</f>
        <v>465.09</v>
      </c>
      <c r="H19" s="47">
        <f>((G19-E19)/G19)</f>
        <v>0.88850708465028272</v>
      </c>
      <c r="I19" s="48">
        <f>(($E19/(1-I$9)))</f>
        <v>129.63559999999998</v>
      </c>
      <c r="J19" s="48">
        <f>(($E19/(1-$J$9)))</f>
        <v>159.55150769230769</v>
      </c>
      <c r="K19" s="48">
        <f>(($E19/(1-K$9)))</f>
        <v>207.41695999999999</v>
      </c>
    </row>
    <row r="20" spans="2:11" ht="18.75" customHeight="1" x14ac:dyDescent="0.25">
      <c r="B20" s="59" t="s">
        <v>33</v>
      </c>
      <c r="C20" s="60">
        <v>1</v>
      </c>
      <c r="D20" s="61" t="s">
        <v>34</v>
      </c>
      <c r="E20" s="62">
        <v>34.077939999999998</v>
      </c>
      <c r="F20" s="58">
        <v>1191</v>
      </c>
      <c r="G20" s="63">
        <f>F20*$G$5</f>
        <v>440.67</v>
      </c>
      <c r="H20" s="47">
        <f>((G20-E20)/G20)</f>
        <v>0.92266789207343358</v>
      </c>
      <c r="I20" s="48">
        <f>(($E20/(1-I$9)))</f>
        <v>85.194849999999988</v>
      </c>
      <c r="J20" s="48">
        <f>(($E20/(1-$J$9)))</f>
        <v>104.85520000000001</v>
      </c>
      <c r="K20" s="48">
        <f>(($E20/(1-K$9)))</f>
        <v>136.31175999999999</v>
      </c>
    </row>
    <row r="21" spans="2:11" ht="18.75" customHeight="1" x14ac:dyDescent="0.25">
      <c r="B21" s="410" t="s">
        <v>35</v>
      </c>
      <c r="C21" s="410"/>
      <c r="D21" s="410"/>
      <c r="E21" s="410"/>
      <c r="F21" s="410"/>
      <c r="G21" s="410"/>
      <c r="H21" s="51"/>
      <c r="I21" s="48"/>
      <c r="J21" s="48"/>
      <c r="K21" s="48"/>
    </row>
    <row r="22" spans="2:11" ht="18.75" customHeight="1" x14ac:dyDescent="0.25">
      <c r="B22" s="53" t="s">
        <v>36</v>
      </c>
      <c r="C22" s="54">
        <v>1</v>
      </c>
      <c r="D22" s="44" t="s">
        <v>37</v>
      </c>
      <c r="E22" s="55">
        <v>102.34866</v>
      </c>
      <c r="F22" s="46">
        <f>CEILING((Master!F33*1.06),0.5)</f>
        <v>1191</v>
      </c>
      <c r="G22" s="57">
        <f>F22*$G$5</f>
        <v>440.67</v>
      </c>
      <c r="H22" s="47">
        <f>((G22-E22)/G22)</f>
        <v>0.76774307304785894</v>
      </c>
      <c r="I22" s="48">
        <f>(($E22/(1-I$9)))</f>
        <v>255.87164999999999</v>
      </c>
      <c r="J22" s="48">
        <f>(($E22/(1-$J$9)))</f>
        <v>314.9189538461539</v>
      </c>
      <c r="K22" s="48">
        <f>(($E22/(1-K$9)))</f>
        <v>409.39463999999998</v>
      </c>
    </row>
    <row r="23" spans="2:11" ht="18.75" customHeight="1" x14ac:dyDescent="0.25">
      <c r="B23" s="53" t="s">
        <v>38</v>
      </c>
      <c r="C23" s="54">
        <v>1</v>
      </c>
      <c r="D23" s="44" t="s">
        <v>39</v>
      </c>
      <c r="E23" s="55">
        <v>230.5925</v>
      </c>
      <c r="F23" s="46">
        <f>CEILING((Master!F35*1.06),0.5)</f>
        <v>2212</v>
      </c>
      <c r="G23" s="57">
        <f>F23*$G$5</f>
        <v>818.43999999999994</v>
      </c>
      <c r="H23" s="47">
        <f>((G23-E23)/G23)</f>
        <v>0.71825362885489474</v>
      </c>
      <c r="I23" s="48">
        <f>(($E23/(1-I$9)))</f>
        <v>576.48124999999993</v>
      </c>
      <c r="J23" s="48">
        <f>(($E23/(1-$J$9)))</f>
        <v>709.51538461538473</v>
      </c>
      <c r="K23" s="48">
        <f>(($E23/(1-K$9)))</f>
        <v>922.37</v>
      </c>
    </row>
    <row r="24" spans="2:11" ht="18.75" customHeight="1" x14ac:dyDescent="0.25">
      <c r="B24" s="53" t="s">
        <v>40</v>
      </c>
      <c r="C24" s="54">
        <v>1</v>
      </c>
      <c r="D24" s="44" t="s">
        <v>41</v>
      </c>
      <c r="E24" s="55">
        <v>60.22</v>
      </c>
      <c r="F24" s="56">
        <v>1257</v>
      </c>
      <c r="G24" s="57">
        <f>F24*$G$5</f>
        <v>465.09</v>
      </c>
      <c r="H24" s="47">
        <f>((G24-E24)/G24)</f>
        <v>0.87051968436216653</v>
      </c>
      <c r="I24" s="48">
        <f>(($E24/(1-I$9)))</f>
        <v>150.54999999999998</v>
      </c>
      <c r="J24" s="48">
        <f>(($E24/(1-$J$9)))</f>
        <v>185.2923076923077</v>
      </c>
      <c r="K24" s="48">
        <f>(($E24/(1-K$9)))</f>
        <v>240.88</v>
      </c>
    </row>
    <row r="25" spans="2:11" ht="18.75" customHeight="1" x14ac:dyDescent="0.25">
      <c r="B25" s="59" t="s">
        <v>42</v>
      </c>
      <c r="C25" s="60">
        <v>1</v>
      </c>
      <c r="D25" s="61" t="s">
        <v>43</v>
      </c>
      <c r="E25" s="62">
        <v>35.203800000000001</v>
      </c>
      <c r="F25" s="58">
        <v>1659</v>
      </c>
      <c r="G25" s="57">
        <f>F25*$G$5</f>
        <v>613.83000000000004</v>
      </c>
      <c r="H25" s="47">
        <f>((G25-E25)/G25)</f>
        <v>0.94264894188944826</v>
      </c>
      <c r="I25" s="48">
        <f>(($E25/(1-I$9)))</f>
        <v>88.009500000000003</v>
      </c>
      <c r="J25" s="48">
        <f>(($E25/(1-$J$9)))</f>
        <v>108.31938461538464</v>
      </c>
      <c r="K25" s="48">
        <f>(($E25/(1-K$9)))</f>
        <v>140.8152</v>
      </c>
    </row>
    <row r="26" spans="2:11" ht="18.75" customHeight="1" x14ac:dyDescent="0.25">
      <c r="B26" s="410" t="s">
        <v>44</v>
      </c>
      <c r="C26" s="410"/>
      <c r="D26" s="410"/>
      <c r="E26" s="410"/>
      <c r="F26" s="410"/>
      <c r="G26" s="410"/>
      <c r="H26" s="51"/>
      <c r="I26" s="48"/>
      <c r="J26" s="48"/>
      <c r="K26" s="48"/>
    </row>
    <row r="27" spans="2:11" ht="18.75" customHeight="1" x14ac:dyDescent="0.25">
      <c r="B27" s="53" t="s">
        <v>45</v>
      </c>
      <c r="C27" s="54">
        <v>1</v>
      </c>
      <c r="D27" s="44" t="s">
        <v>46</v>
      </c>
      <c r="E27" s="55">
        <v>193.33680000000001</v>
      </c>
      <c r="F27" s="46">
        <f>CEILING((Master!F41*1.06),0.5)</f>
        <v>2817</v>
      </c>
      <c r="G27" s="57">
        <f>F27*$G$5</f>
        <v>1042.29</v>
      </c>
      <c r="H27" s="47">
        <f>((G27-E27)/G27)</f>
        <v>0.81450767060990703</v>
      </c>
      <c r="I27" s="48">
        <f>(($E27/(1-I$9)))</f>
        <v>483.34199999999998</v>
      </c>
      <c r="J27" s="48">
        <f>(($E27/(1-$J$9)))</f>
        <v>594.8824615384616</v>
      </c>
      <c r="K27" s="48">
        <f>(($E27/(1-K$9)))</f>
        <v>773.34720000000004</v>
      </c>
    </row>
    <row r="28" spans="2:11" ht="18.75" customHeight="1" x14ac:dyDescent="0.25">
      <c r="B28" s="53" t="s">
        <v>47</v>
      </c>
      <c r="C28" s="54">
        <v>1</v>
      </c>
      <c r="D28" s="44" t="s">
        <v>48</v>
      </c>
      <c r="E28" s="55">
        <v>50.4801</v>
      </c>
      <c r="F28" s="56">
        <v>1257</v>
      </c>
      <c r="G28" s="57">
        <f>F28*$G$5</f>
        <v>465.09</v>
      </c>
      <c r="H28" s="47">
        <f>((G28-E28)/G28)</f>
        <v>0.89146165258337096</v>
      </c>
      <c r="I28" s="48">
        <f>(($E28/(1-I$9)))</f>
        <v>126.20025</v>
      </c>
      <c r="J28" s="48">
        <f>(($E28/(1-$J$9)))</f>
        <v>155.32338461538464</v>
      </c>
      <c r="K28" s="48">
        <f>(($E28/(1-K$9)))</f>
        <v>201.9204</v>
      </c>
    </row>
    <row r="29" spans="2:11" ht="18.75" customHeight="1" x14ac:dyDescent="0.25">
      <c r="B29" s="59" t="s">
        <v>49</v>
      </c>
      <c r="C29" s="60">
        <v>1</v>
      </c>
      <c r="D29" s="61" t="s">
        <v>50</v>
      </c>
      <c r="E29" s="62">
        <v>32.703800000000001</v>
      </c>
      <c r="F29" s="58">
        <v>1191</v>
      </c>
      <c r="G29" s="57">
        <f>F29*$G$5</f>
        <v>440.67</v>
      </c>
      <c r="H29" s="47">
        <f>((G29-E29)/G29)</f>
        <v>0.92578618921188194</v>
      </c>
      <c r="I29" s="48">
        <f>(($E29/(1-I$9)))</f>
        <v>81.759500000000003</v>
      </c>
      <c r="J29" s="48">
        <f>(($E29/(1-$J$9)))</f>
        <v>100.62707692307694</v>
      </c>
      <c r="K29" s="48">
        <f>(($E29/(1-K$9)))</f>
        <v>130.8152</v>
      </c>
    </row>
    <row r="30" spans="2:11" ht="18.75" customHeight="1" x14ac:dyDescent="0.25">
      <c r="B30" s="411" t="s">
        <v>51</v>
      </c>
      <c r="C30" s="411"/>
      <c r="D30" s="411"/>
      <c r="E30" s="411"/>
      <c r="F30" s="411"/>
      <c r="G30" s="411"/>
      <c r="H30" s="51"/>
      <c r="I30" s="48"/>
      <c r="J30" s="48"/>
      <c r="K30" s="48"/>
    </row>
    <row r="31" spans="2:11" ht="18.75" customHeight="1" x14ac:dyDescent="0.25">
      <c r="B31" s="64" t="s">
        <v>52</v>
      </c>
      <c r="C31" s="65">
        <v>1</v>
      </c>
      <c r="D31" s="49" t="s">
        <v>53</v>
      </c>
      <c r="E31" s="66">
        <v>68.490399999999994</v>
      </c>
      <c r="F31" s="48">
        <v>2185</v>
      </c>
      <c r="G31" s="57">
        <f>F31*$G$5</f>
        <v>808.45</v>
      </c>
      <c r="H31" s="47">
        <f>((G31-E31)/G31)</f>
        <v>0.91528183561135501</v>
      </c>
      <c r="I31" s="48">
        <f>(($E31/(1-I$9)))</f>
        <v>171.22599999999997</v>
      </c>
      <c r="J31" s="48">
        <f>(($E31/(1-$J$9)))</f>
        <v>210.73969230769231</v>
      </c>
      <c r="K31" s="48">
        <f>(($E31/(1-K$9)))</f>
        <v>273.96159999999998</v>
      </c>
    </row>
    <row r="32" spans="2:11" ht="18.75" customHeight="1" x14ac:dyDescent="0.25">
      <c r="B32" s="407"/>
      <c r="C32" s="407"/>
      <c r="D32" s="407"/>
      <c r="E32" s="407"/>
      <c r="F32" s="407"/>
      <c r="G32" s="407"/>
      <c r="H32" s="67"/>
      <c r="I32" s="48"/>
      <c r="J32" s="48"/>
      <c r="K32" s="48"/>
    </row>
    <row r="33" spans="2:11" ht="18.75" customHeight="1" x14ac:dyDescent="0.25">
      <c r="B33" s="398" t="s">
        <v>54</v>
      </c>
      <c r="C33" s="398"/>
      <c r="D33" s="398"/>
      <c r="E33" s="398"/>
      <c r="F33" s="398"/>
      <c r="G33" s="398"/>
      <c r="H33" s="51"/>
      <c r="I33" s="48"/>
      <c r="J33" s="48"/>
      <c r="K33" s="48"/>
    </row>
    <row r="34" spans="2:11" ht="18.75" customHeight="1" x14ac:dyDescent="0.25">
      <c r="B34" s="42" t="s">
        <v>55</v>
      </c>
      <c r="C34" s="43">
        <v>1</v>
      </c>
      <c r="D34" s="52" t="s">
        <v>56</v>
      </c>
      <c r="E34" s="68">
        <v>103.42</v>
      </c>
      <c r="F34" s="46">
        <f>CEILING((Master!F51*1.06),0.5)</f>
        <v>1235.5</v>
      </c>
      <c r="G34" s="46">
        <f t="shared" ref="G34:G49" si="0">F34*$G$5</f>
        <v>457.13499999999999</v>
      </c>
      <c r="H34" s="47">
        <f t="shared" ref="H34:H49" si="1">((G34-E34)/G34)</f>
        <v>0.77376486158355839</v>
      </c>
      <c r="I34" s="48">
        <f t="shared" ref="I34:I49" si="2">(($E34/(1-I$9)))</f>
        <v>258.55</v>
      </c>
      <c r="J34" s="48">
        <f t="shared" ref="J34:J49" si="3">(($E34/(1-$J$9)))</f>
        <v>318.21538461538466</v>
      </c>
      <c r="K34" s="48">
        <f t="shared" ref="K34:K49" si="4">(($E34/(1-K$9)))</f>
        <v>413.68</v>
      </c>
    </row>
    <row r="35" spans="2:11" ht="18.75" customHeight="1" x14ac:dyDescent="0.25">
      <c r="B35" s="42" t="s">
        <v>57</v>
      </c>
      <c r="C35" s="43">
        <v>1</v>
      </c>
      <c r="D35" s="44" t="s">
        <v>58</v>
      </c>
      <c r="E35" s="68">
        <v>133.38999999999999</v>
      </c>
      <c r="F35" s="46">
        <f>CEILING((Master!F52*1.06),0.5)</f>
        <v>1468</v>
      </c>
      <c r="G35" s="46">
        <f t="shared" si="0"/>
        <v>543.16</v>
      </c>
      <c r="H35" s="47">
        <f t="shared" si="1"/>
        <v>0.75441858752485458</v>
      </c>
      <c r="I35" s="48">
        <f t="shared" si="2"/>
        <v>333.47499999999997</v>
      </c>
      <c r="J35" s="48">
        <f t="shared" si="3"/>
        <v>410.43076923076927</v>
      </c>
      <c r="K35" s="48">
        <f t="shared" si="4"/>
        <v>533.55999999999995</v>
      </c>
    </row>
    <row r="36" spans="2:11" ht="18.75" customHeight="1" x14ac:dyDescent="0.25">
      <c r="B36" s="42" t="s">
        <v>59</v>
      </c>
      <c r="C36" s="43">
        <v>1</v>
      </c>
      <c r="D36" s="44" t="s">
        <v>60</v>
      </c>
      <c r="E36" s="68">
        <v>109.44</v>
      </c>
      <c r="F36" s="46">
        <f>CEILING((Master!F53*1.06),0.5)</f>
        <v>1235.5</v>
      </c>
      <c r="G36" s="46">
        <f t="shared" si="0"/>
        <v>457.13499999999999</v>
      </c>
      <c r="H36" s="47">
        <f t="shared" si="1"/>
        <v>0.76059588524177757</v>
      </c>
      <c r="I36" s="48">
        <f t="shared" si="2"/>
        <v>273.59999999999997</v>
      </c>
      <c r="J36" s="48">
        <f t="shared" si="3"/>
        <v>336.73846153846159</v>
      </c>
      <c r="K36" s="48">
        <f t="shared" si="4"/>
        <v>437.76</v>
      </c>
    </row>
    <row r="37" spans="2:11" ht="18.75" customHeight="1" x14ac:dyDescent="0.25">
      <c r="B37" s="42" t="s">
        <v>61</v>
      </c>
      <c r="C37" s="43">
        <v>1</v>
      </c>
      <c r="D37" s="44" t="s">
        <v>62</v>
      </c>
      <c r="E37" s="68">
        <v>133.38999999999999</v>
      </c>
      <c r="F37" s="46">
        <f>CEILING((Master!F54*1.06),0.5)</f>
        <v>1468</v>
      </c>
      <c r="G37" s="46">
        <f t="shared" si="0"/>
        <v>543.16</v>
      </c>
      <c r="H37" s="47">
        <f t="shared" si="1"/>
        <v>0.75441858752485458</v>
      </c>
      <c r="I37" s="48">
        <f t="shared" si="2"/>
        <v>333.47499999999997</v>
      </c>
      <c r="J37" s="48">
        <f t="shared" si="3"/>
        <v>410.43076923076927</v>
      </c>
      <c r="K37" s="48">
        <f t="shared" si="4"/>
        <v>533.55999999999995</v>
      </c>
    </row>
    <row r="38" spans="2:11" ht="18.75" customHeight="1" x14ac:dyDescent="0.25">
      <c r="B38" s="42" t="s">
        <v>63</v>
      </c>
      <c r="C38" s="43">
        <v>1</v>
      </c>
      <c r="D38" s="44" t="s">
        <v>64</v>
      </c>
      <c r="E38" s="68">
        <v>103.42</v>
      </c>
      <c r="F38" s="46">
        <f>CEILING((Master!F55*1.06),0.5)</f>
        <v>1235.5</v>
      </c>
      <c r="G38" s="46">
        <f t="shared" si="0"/>
        <v>457.13499999999999</v>
      </c>
      <c r="H38" s="47">
        <f t="shared" si="1"/>
        <v>0.77376486158355839</v>
      </c>
      <c r="I38" s="48">
        <f t="shared" si="2"/>
        <v>258.55</v>
      </c>
      <c r="J38" s="48">
        <f t="shared" si="3"/>
        <v>318.21538461538466</v>
      </c>
      <c r="K38" s="48">
        <f t="shared" si="4"/>
        <v>413.68</v>
      </c>
    </row>
    <row r="39" spans="2:11" ht="18.75" customHeight="1" x14ac:dyDescent="0.25">
      <c r="B39" s="42" t="s">
        <v>65</v>
      </c>
      <c r="C39" s="43">
        <v>1</v>
      </c>
      <c r="D39" s="44" t="s">
        <v>66</v>
      </c>
      <c r="E39" s="68">
        <v>135.51</v>
      </c>
      <c r="F39" s="46">
        <f>CEILING((Master!F56*1.06),0.5)</f>
        <v>1468</v>
      </c>
      <c r="G39" s="46">
        <f t="shared" si="0"/>
        <v>543.16</v>
      </c>
      <c r="H39" s="47">
        <f t="shared" si="1"/>
        <v>0.75051550187789973</v>
      </c>
      <c r="I39" s="48">
        <f t="shared" si="2"/>
        <v>338.77499999999998</v>
      </c>
      <c r="J39" s="48">
        <f t="shared" si="3"/>
        <v>416.9538461538462</v>
      </c>
      <c r="K39" s="48">
        <f t="shared" si="4"/>
        <v>542.04</v>
      </c>
    </row>
    <row r="40" spans="2:11" ht="18.75" customHeight="1" x14ac:dyDescent="0.25">
      <c r="B40" s="42" t="s">
        <v>67</v>
      </c>
      <c r="C40" s="43">
        <v>1</v>
      </c>
      <c r="D40" s="44" t="s">
        <v>68</v>
      </c>
      <c r="E40" s="68">
        <v>103.42</v>
      </c>
      <c r="F40" s="46">
        <f>CEILING((Master!F57*1.06),0.5)</f>
        <v>1235.5</v>
      </c>
      <c r="G40" s="46">
        <f t="shared" si="0"/>
        <v>457.13499999999999</v>
      </c>
      <c r="H40" s="47">
        <f t="shared" si="1"/>
        <v>0.77376486158355839</v>
      </c>
      <c r="I40" s="48">
        <f t="shared" si="2"/>
        <v>258.55</v>
      </c>
      <c r="J40" s="48">
        <f t="shared" si="3"/>
        <v>318.21538461538466</v>
      </c>
      <c r="K40" s="48">
        <f t="shared" si="4"/>
        <v>413.68</v>
      </c>
    </row>
    <row r="41" spans="2:11" ht="18.75" customHeight="1" x14ac:dyDescent="0.25">
      <c r="B41" s="42" t="s">
        <v>69</v>
      </c>
      <c r="C41" s="43">
        <v>1</v>
      </c>
      <c r="D41" s="44" t="s">
        <v>70</v>
      </c>
      <c r="E41" s="68">
        <v>135.51</v>
      </c>
      <c r="F41" s="46">
        <f>CEILING((Master!F58*1.06),0.5)</f>
        <v>1468</v>
      </c>
      <c r="G41" s="46">
        <f t="shared" si="0"/>
        <v>543.16</v>
      </c>
      <c r="H41" s="47">
        <f t="shared" si="1"/>
        <v>0.75051550187789973</v>
      </c>
      <c r="I41" s="48">
        <f t="shared" si="2"/>
        <v>338.77499999999998</v>
      </c>
      <c r="J41" s="48">
        <f t="shared" si="3"/>
        <v>416.9538461538462</v>
      </c>
      <c r="K41" s="48">
        <f t="shared" si="4"/>
        <v>542.04</v>
      </c>
    </row>
    <row r="42" spans="2:11" ht="18.75" customHeight="1" x14ac:dyDescent="0.25">
      <c r="B42" s="42" t="s">
        <v>71</v>
      </c>
      <c r="C42" s="43">
        <v>1</v>
      </c>
      <c r="D42" s="44" t="s">
        <v>72</v>
      </c>
      <c r="E42" s="68">
        <v>103.42</v>
      </c>
      <c r="F42" s="46">
        <f>CEILING((Master!F59*1.06),0.5)</f>
        <v>1235.5</v>
      </c>
      <c r="G42" s="46">
        <f t="shared" si="0"/>
        <v>457.13499999999999</v>
      </c>
      <c r="H42" s="47">
        <f t="shared" si="1"/>
        <v>0.77376486158355839</v>
      </c>
      <c r="I42" s="48">
        <f t="shared" si="2"/>
        <v>258.55</v>
      </c>
      <c r="J42" s="48">
        <f t="shared" si="3"/>
        <v>318.21538461538466</v>
      </c>
      <c r="K42" s="48">
        <f t="shared" si="4"/>
        <v>413.68</v>
      </c>
    </row>
    <row r="43" spans="2:11" ht="18.75" customHeight="1" x14ac:dyDescent="0.25">
      <c r="B43" s="69" t="s">
        <v>73</v>
      </c>
      <c r="C43" s="70">
        <v>1</v>
      </c>
      <c r="D43" s="49" t="s">
        <v>74</v>
      </c>
      <c r="E43" s="68">
        <v>135.51</v>
      </c>
      <c r="F43" s="46">
        <f>CEILING((Master!F60*1.06),0.5)</f>
        <v>1468</v>
      </c>
      <c r="G43" s="46">
        <f t="shared" si="0"/>
        <v>543.16</v>
      </c>
      <c r="H43" s="47">
        <f t="shared" si="1"/>
        <v>0.75051550187789973</v>
      </c>
      <c r="I43" s="48">
        <f t="shared" si="2"/>
        <v>338.77499999999998</v>
      </c>
      <c r="J43" s="48">
        <f t="shared" si="3"/>
        <v>416.9538461538462</v>
      </c>
      <c r="K43" s="48">
        <f t="shared" si="4"/>
        <v>542.04</v>
      </c>
    </row>
    <row r="44" spans="2:11" ht="18.75" customHeight="1" x14ac:dyDescent="0.25">
      <c r="B44" s="42" t="s">
        <v>75</v>
      </c>
      <c r="C44" s="71">
        <v>1</v>
      </c>
      <c r="D44" s="44" t="s">
        <v>76</v>
      </c>
      <c r="E44" s="72">
        <v>114.8635</v>
      </c>
      <c r="F44" s="73">
        <v>1235.5</v>
      </c>
      <c r="G44" s="46">
        <f t="shared" si="0"/>
        <v>457.13499999999999</v>
      </c>
      <c r="H44" s="47">
        <f t="shared" si="1"/>
        <v>0.7487317750773842</v>
      </c>
      <c r="I44" s="48">
        <f t="shared" si="2"/>
        <v>287.15875</v>
      </c>
      <c r="J44" s="48">
        <f t="shared" si="3"/>
        <v>353.42615384615391</v>
      </c>
      <c r="K44" s="48">
        <f t="shared" si="4"/>
        <v>459.45400000000001</v>
      </c>
    </row>
    <row r="45" spans="2:11" ht="18.75" customHeight="1" x14ac:dyDescent="0.25">
      <c r="B45" s="69" t="s">
        <v>77</v>
      </c>
      <c r="C45" s="74">
        <v>1</v>
      </c>
      <c r="D45" s="49" t="s">
        <v>78</v>
      </c>
      <c r="E45" s="72">
        <v>148.80350000000001</v>
      </c>
      <c r="F45" s="75">
        <v>1468</v>
      </c>
      <c r="G45" s="46">
        <f t="shared" si="0"/>
        <v>543.16</v>
      </c>
      <c r="H45" s="47">
        <f t="shared" si="1"/>
        <v>0.72604112968554391</v>
      </c>
      <c r="I45" s="48">
        <f t="shared" si="2"/>
        <v>372.00875000000002</v>
      </c>
      <c r="J45" s="48">
        <f t="shared" si="3"/>
        <v>457.85692307692318</v>
      </c>
      <c r="K45" s="48">
        <f t="shared" si="4"/>
        <v>595.21400000000006</v>
      </c>
    </row>
    <row r="46" spans="2:11" ht="18.75" customHeight="1" x14ac:dyDescent="0.25">
      <c r="B46" s="42" t="s">
        <v>79</v>
      </c>
      <c r="C46" s="70">
        <v>1</v>
      </c>
      <c r="D46" s="44" t="s">
        <v>80</v>
      </c>
      <c r="E46" s="72">
        <v>114.8635</v>
      </c>
      <c r="F46" s="73">
        <v>1235.5</v>
      </c>
      <c r="G46" s="46">
        <f t="shared" si="0"/>
        <v>457.13499999999999</v>
      </c>
      <c r="H46" s="47">
        <f t="shared" si="1"/>
        <v>0.7487317750773842</v>
      </c>
      <c r="I46" s="48">
        <f t="shared" si="2"/>
        <v>287.15875</v>
      </c>
      <c r="J46" s="48">
        <f t="shared" si="3"/>
        <v>353.42615384615391</v>
      </c>
      <c r="K46" s="48">
        <f t="shared" si="4"/>
        <v>459.45400000000001</v>
      </c>
    </row>
    <row r="47" spans="2:11" ht="18.75" customHeight="1" x14ac:dyDescent="0.25">
      <c r="B47" s="69" t="s">
        <v>81</v>
      </c>
      <c r="C47" s="71">
        <v>1</v>
      </c>
      <c r="D47" s="49" t="s">
        <v>82</v>
      </c>
      <c r="E47" s="72">
        <v>148.80350000000001</v>
      </c>
      <c r="F47" s="75">
        <v>1468</v>
      </c>
      <c r="G47" s="46">
        <f t="shared" si="0"/>
        <v>543.16</v>
      </c>
      <c r="H47" s="47">
        <f t="shared" si="1"/>
        <v>0.72604112968554391</v>
      </c>
      <c r="I47" s="48">
        <f t="shared" si="2"/>
        <v>372.00875000000002</v>
      </c>
      <c r="J47" s="48">
        <f t="shared" si="3"/>
        <v>457.85692307692318</v>
      </c>
      <c r="K47" s="48">
        <f t="shared" si="4"/>
        <v>595.21400000000006</v>
      </c>
    </row>
    <row r="48" spans="2:11" ht="18.75" customHeight="1" x14ac:dyDescent="0.25">
      <c r="B48" s="42" t="s">
        <v>83</v>
      </c>
      <c r="C48" s="71">
        <v>1</v>
      </c>
      <c r="D48" s="44" t="s">
        <v>84</v>
      </c>
      <c r="E48" s="72">
        <v>114.8635</v>
      </c>
      <c r="F48" s="73">
        <v>1235.5</v>
      </c>
      <c r="G48" s="46">
        <f t="shared" si="0"/>
        <v>457.13499999999999</v>
      </c>
      <c r="H48" s="47">
        <f t="shared" si="1"/>
        <v>0.7487317750773842</v>
      </c>
      <c r="I48" s="48">
        <f t="shared" si="2"/>
        <v>287.15875</v>
      </c>
      <c r="J48" s="48">
        <f t="shared" si="3"/>
        <v>353.42615384615391</v>
      </c>
      <c r="K48" s="48">
        <f t="shared" si="4"/>
        <v>459.45400000000001</v>
      </c>
    </row>
    <row r="49" spans="2:11" x14ac:dyDescent="0.25">
      <c r="B49" s="69" t="s">
        <v>85</v>
      </c>
      <c r="C49" s="76">
        <v>1</v>
      </c>
      <c r="D49" s="49" t="s">
        <v>86</v>
      </c>
      <c r="E49" s="72">
        <v>148.80350000000001</v>
      </c>
      <c r="F49" s="75">
        <v>1468</v>
      </c>
      <c r="G49" s="46">
        <f t="shared" si="0"/>
        <v>543.16</v>
      </c>
      <c r="H49" s="47">
        <f t="shared" si="1"/>
        <v>0.72604112968554391</v>
      </c>
      <c r="I49" s="48">
        <f t="shared" si="2"/>
        <v>372.00875000000002</v>
      </c>
      <c r="J49" s="48">
        <f t="shared" si="3"/>
        <v>457.85692307692318</v>
      </c>
      <c r="K49" s="48">
        <f t="shared" si="4"/>
        <v>595.21400000000006</v>
      </c>
    </row>
    <row r="50" spans="2:11" ht="18.75" customHeight="1" x14ac:dyDescent="0.25">
      <c r="B50" s="407"/>
      <c r="C50" s="407"/>
      <c r="D50" s="407"/>
      <c r="E50" s="407"/>
      <c r="F50" s="407"/>
      <c r="G50" s="407"/>
      <c r="H50" s="67"/>
      <c r="I50" s="48"/>
      <c r="J50" s="48"/>
      <c r="K50" s="48"/>
    </row>
    <row r="51" spans="2:11" ht="18.75" customHeight="1" x14ac:dyDescent="0.25">
      <c r="B51" s="398" t="s">
        <v>87</v>
      </c>
      <c r="C51" s="398"/>
      <c r="D51" s="398"/>
      <c r="E51" s="398"/>
      <c r="F51" s="398"/>
      <c r="G51" s="398"/>
      <c r="H51" s="51"/>
      <c r="I51" s="48"/>
      <c r="J51" s="48"/>
      <c r="K51" s="48"/>
    </row>
    <row r="52" spans="2:11" ht="18.75" customHeight="1" x14ac:dyDescent="0.25">
      <c r="B52" s="42" t="s">
        <v>88</v>
      </c>
      <c r="C52" s="43">
        <v>0.1</v>
      </c>
      <c r="D52" s="52" t="s">
        <v>89</v>
      </c>
      <c r="E52" s="72">
        <v>4.26</v>
      </c>
      <c r="F52" s="46">
        <f>CEILING((Master!F63*1.06),0.5)</f>
        <v>22.5</v>
      </c>
      <c r="G52" s="46">
        <f t="shared" ref="G52:G58" si="5">F52*$G$5</f>
        <v>8.3249999999999993</v>
      </c>
      <c r="H52" s="47">
        <f t="shared" ref="H52:H58" si="6">((G52-E52)/G52)</f>
        <v>0.4882882882882883</v>
      </c>
      <c r="I52" s="48">
        <f t="shared" ref="I52:I58" si="7">(($E52/(1-I$9)))</f>
        <v>10.649999999999999</v>
      </c>
      <c r="J52" s="48">
        <f t="shared" ref="J52:J58" si="8">(($E52/(1-$J$9)))</f>
        <v>13.107692307692309</v>
      </c>
      <c r="K52" s="48">
        <f t="shared" ref="K52:K58" si="9">(($E52/(1-K$9)))</f>
        <v>17.04</v>
      </c>
    </row>
    <row r="53" spans="2:11" ht="18.75" customHeight="1" x14ac:dyDescent="0.25">
      <c r="B53" s="42" t="s">
        <v>90</v>
      </c>
      <c r="C53" s="43">
        <v>0.4</v>
      </c>
      <c r="D53" s="44" t="s">
        <v>91</v>
      </c>
      <c r="E53" s="72">
        <v>67.512699999999995</v>
      </c>
      <c r="F53" s="46">
        <f>CEILING((Master!F64*1.06),0.5)</f>
        <v>374.5</v>
      </c>
      <c r="G53" s="46">
        <f t="shared" si="5"/>
        <v>138.565</v>
      </c>
      <c r="H53" s="47">
        <f t="shared" si="6"/>
        <v>0.51277234510879377</v>
      </c>
      <c r="I53" s="48">
        <f t="shared" si="7"/>
        <v>168.78174999999999</v>
      </c>
      <c r="J53" s="48">
        <f t="shared" si="8"/>
        <v>207.73138461538463</v>
      </c>
      <c r="K53" s="48">
        <f t="shared" si="9"/>
        <v>270.05079999999998</v>
      </c>
    </row>
    <row r="54" spans="2:11" ht="18.75" customHeight="1" x14ac:dyDescent="0.25">
      <c r="B54" s="42" t="s">
        <v>92</v>
      </c>
      <c r="C54" s="43">
        <v>0.4</v>
      </c>
      <c r="D54" s="44" t="s">
        <v>93</v>
      </c>
      <c r="E54" s="72">
        <v>76.17</v>
      </c>
      <c r="F54" s="46">
        <f>CEILING((Master!F65*1.06),0.5)</f>
        <v>563</v>
      </c>
      <c r="G54" s="46">
        <f t="shared" si="5"/>
        <v>208.31</v>
      </c>
      <c r="H54" s="47">
        <f t="shared" si="6"/>
        <v>0.6343430464211991</v>
      </c>
      <c r="I54" s="48">
        <f t="shared" si="7"/>
        <v>190.42499999999998</v>
      </c>
      <c r="J54" s="48">
        <f t="shared" si="8"/>
        <v>234.3692307692308</v>
      </c>
      <c r="K54" s="48">
        <f t="shared" si="9"/>
        <v>304.68</v>
      </c>
    </row>
    <row r="55" spans="2:11" ht="18.75" customHeight="1" x14ac:dyDescent="0.25">
      <c r="B55" s="42" t="s">
        <v>94</v>
      </c>
      <c r="C55" s="43">
        <v>1</v>
      </c>
      <c r="D55" s="44" t="s">
        <v>95</v>
      </c>
      <c r="E55" s="72">
        <v>107.544</v>
      </c>
      <c r="F55" s="46">
        <f>CEILING((Master!F66*1.06),0.5)</f>
        <v>654.5</v>
      </c>
      <c r="G55" s="46">
        <f t="shared" si="5"/>
        <v>242.16499999999999</v>
      </c>
      <c r="H55" s="47">
        <f t="shared" si="6"/>
        <v>0.55590609708256766</v>
      </c>
      <c r="I55" s="48">
        <f t="shared" si="7"/>
        <v>268.85999999999996</v>
      </c>
      <c r="J55" s="48">
        <f t="shared" si="8"/>
        <v>330.9046153846154</v>
      </c>
      <c r="K55" s="48">
        <f t="shared" si="9"/>
        <v>430.17599999999999</v>
      </c>
    </row>
    <row r="56" spans="2:11" ht="18.75" customHeight="1" x14ac:dyDescent="0.25">
      <c r="B56" s="42" t="s">
        <v>96</v>
      </c>
      <c r="C56" s="43">
        <v>0.1</v>
      </c>
      <c r="D56" s="44" t="s">
        <v>97</v>
      </c>
      <c r="E56" s="72">
        <v>1.1299999999999999</v>
      </c>
      <c r="F56" s="46">
        <f>CEILING((Master!F67*1.06),0.5)</f>
        <v>8.5</v>
      </c>
      <c r="G56" s="46">
        <f t="shared" si="5"/>
        <v>3.145</v>
      </c>
      <c r="H56" s="47">
        <f t="shared" si="6"/>
        <v>0.64069952305246425</v>
      </c>
      <c r="I56" s="48">
        <f t="shared" si="7"/>
        <v>2.8249999999999997</v>
      </c>
      <c r="J56" s="48">
        <f t="shared" si="8"/>
        <v>3.476923076923077</v>
      </c>
      <c r="K56" s="48">
        <f t="shared" si="9"/>
        <v>4.5199999999999996</v>
      </c>
    </row>
    <row r="57" spans="2:11" ht="18.75" customHeight="1" x14ac:dyDescent="0.25">
      <c r="B57" s="42" t="s">
        <v>98</v>
      </c>
      <c r="C57" s="43">
        <v>0.1</v>
      </c>
      <c r="D57" s="44" t="s">
        <v>99</v>
      </c>
      <c r="E57" s="72">
        <v>2.92</v>
      </c>
      <c r="F57" s="46">
        <f>CEILING((Master!F68*1.06),0.5)</f>
        <v>22.5</v>
      </c>
      <c r="G57" s="46">
        <f t="shared" si="5"/>
        <v>8.3249999999999993</v>
      </c>
      <c r="H57" s="47">
        <f t="shared" si="6"/>
        <v>0.64924924924924921</v>
      </c>
      <c r="I57" s="48">
        <f t="shared" si="7"/>
        <v>7.3</v>
      </c>
      <c r="J57" s="48">
        <f t="shared" si="8"/>
        <v>8.9846153846153864</v>
      </c>
      <c r="K57" s="48">
        <f t="shared" si="9"/>
        <v>11.68</v>
      </c>
    </row>
    <row r="58" spans="2:11" ht="18.75" customHeight="1" x14ac:dyDescent="0.25">
      <c r="B58" s="42" t="s">
        <v>100</v>
      </c>
      <c r="C58" s="43">
        <v>0.1</v>
      </c>
      <c r="D58" s="44" t="s">
        <v>101</v>
      </c>
      <c r="E58" s="72">
        <v>2.19</v>
      </c>
      <c r="F58" s="46">
        <f>CEILING((Master!F69*1.06),0.5)</f>
        <v>17</v>
      </c>
      <c r="G58" s="46">
        <f t="shared" si="5"/>
        <v>6.29</v>
      </c>
      <c r="H58" s="47">
        <f t="shared" si="6"/>
        <v>0.65182829888712235</v>
      </c>
      <c r="I58" s="48">
        <f t="shared" si="7"/>
        <v>5.4749999999999996</v>
      </c>
      <c r="J58" s="48">
        <f t="shared" si="8"/>
        <v>6.7384615384615394</v>
      </c>
      <c r="K58" s="48">
        <f t="shared" si="9"/>
        <v>8.76</v>
      </c>
    </row>
    <row r="59" spans="2:11" ht="18.75" customHeight="1" x14ac:dyDescent="0.25">
      <c r="B59" s="393"/>
      <c r="C59" s="393"/>
      <c r="D59" s="393"/>
      <c r="E59" s="393"/>
      <c r="F59" s="393"/>
      <c r="G59" s="393"/>
      <c r="H59" s="77"/>
      <c r="I59" s="48"/>
      <c r="J59" s="48"/>
      <c r="K59" s="48"/>
    </row>
    <row r="60" spans="2:11" ht="18.75" customHeight="1" x14ac:dyDescent="0.25">
      <c r="B60" s="408" t="s">
        <v>102</v>
      </c>
      <c r="C60" s="408"/>
      <c r="D60" s="408"/>
      <c r="E60" s="408"/>
      <c r="F60" s="408"/>
      <c r="G60" s="408"/>
      <c r="H60" s="40"/>
      <c r="I60" s="48"/>
      <c r="J60" s="48"/>
      <c r="K60" s="48"/>
    </row>
    <row r="61" spans="2:11" ht="18.75" customHeight="1" x14ac:dyDescent="0.25">
      <c r="B61" s="398" t="s">
        <v>103</v>
      </c>
      <c r="C61" s="398"/>
      <c r="D61" s="398"/>
      <c r="E61" s="398"/>
      <c r="F61" s="398"/>
      <c r="G61" s="398"/>
      <c r="H61" s="51"/>
      <c r="I61" s="48"/>
      <c r="J61" s="48"/>
      <c r="K61" s="48"/>
    </row>
    <row r="62" spans="2:11" ht="18.75" customHeight="1" x14ac:dyDescent="0.25">
      <c r="B62" s="396" t="s">
        <v>104</v>
      </c>
      <c r="C62" s="396"/>
      <c r="D62" s="396"/>
      <c r="E62" s="396"/>
      <c r="F62" s="396"/>
      <c r="G62" s="396"/>
      <c r="H62" s="78"/>
      <c r="I62" s="48"/>
      <c r="J62" s="48"/>
      <c r="K62" s="48"/>
    </row>
    <row r="63" spans="2:11" ht="18.75" customHeight="1" x14ac:dyDescent="0.25">
      <c r="B63" s="42" t="s">
        <v>105</v>
      </c>
      <c r="C63" s="43">
        <v>170</v>
      </c>
      <c r="D63" s="52" t="s">
        <v>106</v>
      </c>
      <c r="E63" s="45">
        <v>3997.8517700000002</v>
      </c>
      <c r="F63" s="79">
        <f>CEILING((K63/G5),0.5)</f>
        <v>43220.5</v>
      </c>
      <c r="G63" s="80">
        <f>F63*$G$5</f>
        <v>15991.584999999999</v>
      </c>
      <c r="H63" s="47">
        <f>((G63-E63)/G63)</f>
        <v>0.75000278146287558</v>
      </c>
      <c r="I63" s="48">
        <f>(($E63/(1-I$9)))</f>
        <v>9994.6294249999992</v>
      </c>
      <c r="J63" s="48">
        <f>(($E63/(1-$J$9)))</f>
        <v>12301.082369230771</v>
      </c>
      <c r="K63" s="48">
        <f>(($E63/(1-K$9)))</f>
        <v>15991.407080000001</v>
      </c>
    </row>
    <row r="64" spans="2:11" ht="18.75" customHeight="1" x14ac:dyDescent="0.25">
      <c r="B64" s="42" t="s">
        <v>107</v>
      </c>
      <c r="C64" s="43">
        <v>170</v>
      </c>
      <c r="D64" s="44" t="s">
        <v>108</v>
      </c>
      <c r="E64" s="55">
        <v>4014.89</v>
      </c>
      <c r="F64" s="79">
        <f>CEILING((K64/G5),0.5)</f>
        <v>43404.5</v>
      </c>
      <c r="G64" s="80">
        <f>F64*$G$5</f>
        <v>16059.664999999999</v>
      </c>
      <c r="H64" s="47">
        <f>((G64-E64)/G64)</f>
        <v>0.75000163452973645</v>
      </c>
      <c r="I64" s="48">
        <f>(($E64/(1-I$9)))</f>
        <v>10037.224999999999</v>
      </c>
      <c r="J64" s="48">
        <f>(($E64/(1-$J$9)))</f>
        <v>12353.507692307694</v>
      </c>
      <c r="K64" s="48">
        <f>(($E64/(1-K$9)))</f>
        <v>16059.56</v>
      </c>
    </row>
    <row r="65" spans="2:11" ht="18.75" customHeight="1" x14ac:dyDescent="0.25">
      <c r="B65" s="401" t="s">
        <v>109</v>
      </c>
      <c r="C65" s="401"/>
      <c r="D65" s="401"/>
      <c r="E65" s="401"/>
      <c r="F65" s="401"/>
      <c r="G65" s="401"/>
      <c r="H65" s="47"/>
      <c r="I65" s="48"/>
      <c r="J65" s="48"/>
      <c r="K65" s="48"/>
    </row>
    <row r="66" spans="2:11" ht="18.75" customHeight="1" x14ac:dyDescent="0.25">
      <c r="B66" s="42" t="s">
        <v>110</v>
      </c>
      <c r="C66" s="43">
        <v>180</v>
      </c>
      <c r="D66" s="44" t="s">
        <v>111</v>
      </c>
      <c r="E66" s="45">
        <v>4207.9399999999996</v>
      </c>
      <c r="F66" s="79">
        <f>CEILING((K66/G$5),0.5)</f>
        <v>45491.5</v>
      </c>
      <c r="G66" s="46">
        <f>F66*$G$5</f>
        <v>16831.855</v>
      </c>
      <c r="H66" s="47">
        <f>((G66-E66)/G66)</f>
        <v>0.75000141101500706</v>
      </c>
      <c r="I66" s="48">
        <f>(($E66/(1-I$9)))</f>
        <v>10519.849999999999</v>
      </c>
      <c r="J66" s="48">
        <f>(($E66/(1-$J$9)))</f>
        <v>12947.507692307692</v>
      </c>
      <c r="K66" s="48">
        <f>(($E66/(1-K$9)))</f>
        <v>16831.759999999998</v>
      </c>
    </row>
    <row r="67" spans="2:11" ht="18.75" customHeight="1" x14ac:dyDescent="0.25">
      <c r="B67" s="42" t="s">
        <v>112</v>
      </c>
      <c r="C67" s="43">
        <v>180</v>
      </c>
      <c r="D67" s="44" t="s">
        <v>113</v>
      </c>
      <c r="E67" s="45">
        <v>4208.4399999999996</v>
      </c>
      <c r="F67" s="79">
        <f>CEILING((K67/G$5),0.5)</f>
        <v>45497</v>
      </c>
      <c r="G67" s="46">
        <f>F67*$G$5</f>
        <v>16833.89</v>
      </c>
      <c r="H67" s="47">
        <f>((G67-E67)/G67)</f>
        <v>0.75000193062922482</v>
      </c>
      <c r="I67" s="48">
        <f>(($E67/(1-I$9)))</f>
        <v>10521.099999999999</v>
      </c>
      <c r="J67" s="48">
        <f>(($E67/(1-$J$9)))</f>
        <v>12949.046153846155</v>
      </c>
      <c r="K67" s="48">
        <f>(($E67/(1-K$9)))</f>
        <v>16833.759999999998</v>
      </c>
    </row>
    <row r="68" spans="2:11" ht="18.75" customHeight="1" x14ac:dyDescent="0.25">
      <c r="B68" s="405" t="s">
        <v>114</v>
      </c>
      <c r="C68" s="405"/>
      <c r="D68" s="405"/>
      <c r="E68" s="405"/>
      <c r="F68" s="405"/>
      <c r="G68" s="405"/>
      <c r="H68" s="81"/>
      <c r="I68" s="48"/>
      <c r="J68" s="48"/>
      <c r="K68" s="48"/>
    </row>
    <row r="69" spans="2:11" ht="18.75" customHeight="1" x14ac:dyDescent="0.25">
      <c r="B69" s="406"/>
      <c r="C69" s="406"/>
      <c r="D69" s="406"/>
      <c r="E69" s="406"/>
      <c r="F69" s="406"/>
      <c r="G69" s="406"/>
      <c r="H69" s="82"/>
      <c r="I69" s="48"/>
      <c r="J69" s="48"/>
      <c r="K69" s="48"/>
    </row>
    <row r="70" spans="2:11" ht="18.75" customHeight="1" x14ac:dyDescent="0.25">
      <c r="B70" s="400" t="s">
        <v>115</v>
      </c>
      <c r="C70" s="400"/>
      <c r="D70" s="400"/>
      <c r="E70" s="400"/>
      <c r="F70" s="400"/>
      <c r="G70" s="400"/>
      <c r="H70" s="41"/>
      <c r="I70" s="48"/>
      <c r="J70" s="48"/>
      <c r="K70" s="48"/>
    </row>
    <row r="71" spans="2:11" ht="18.75" customHeight="1" x14ac:dyDescent="0.25">
      <c r="B71" s="402" t="s">
        <v>104</v>
      </c>
      <c r="C71" s="402"/>
      <c r="D71" s="402"/>
      <c r="E71" s="402"/>
      <c r="F71" s="402"/>
      <c r="G71" s="402"/>
      <c r="H71" s="78"/>
      <c r="I71" s="48"/>
      <c r="J71" s="48"/>
      <c r="K71" s="48"/>
    </row>
    <row r="72" spans="2:11" ht="18.75" customHeight="1" x14ac:dyDescent="0.25">
      <c r="B72" s="42" t="s">
        <v>116</v>
      </c>
      <c r="C72" s="43">
        <v>130</v>
      </c>
      <c r="D72" s="52" t="s">
        <v>117</v>
      </c>
      <c r="E72" s="45">
        <v>2813.51</v>
      </c>
      <c r="F72" s="79">
        <f>CEILING((K72/G$5),0.5)</f>
        <v>30416.5</v>
      </c>
      <c r="G72" s="46">
        <f>F72*$G$5</f>
        <v>11254.105</v>
      </c>
      <c r="H72" s="47">
        <f>((G72-E72)/G72)</f>
        <v>0.75000144391757495</v>
      </c>
      <c r="I72" s="48">
        <f>(($E72/(1-I$9)))</f>
        <v>7033.7750000000005</v>
      </c>
      <c r="J72" s="48">
        <f>(($E72/(1-$J$9)))</f>
        <v>8656.9538461538486</v>
      </c>
      <c r="K72" s="48">
        <f>(($E72/(1-K$9)))</f>
        <v>11254.04</v>
      </c>
    </row>
    <row r="73" spans="2:11" ht="18.75" customHeight="1" x14ac:dyDescent="0.25">
      <c r="B73" s="42" t="s">
        <v>118</v>
      </c>
      <c r="C73" s="43">
        <v>130</v>
      </c>
      <c r="D73" s="44" t="s">
        <v>119</v>
      </c>
      <c r="E73" s="45">
        <v>3016.09</v>
      </c>
      <c r="F73" s="79">
        <f>CEILING((K73/G$5),0.5)</f>
        <v>32606.5</v>
      </c>
      <c r="G73" s="46">
        <f>F73*$G$5</f>
        <v>12064.405000000001</v>
      </c>
      <c r="H73" s="47">
        <f>((G73-E73)/G73)</f>
        <v>0.75000093249522048</v>
      </c>
      <c r="I73" s="48">
        <f>(($E73/(1-I$9)))</f>
        <v>7540.2250000000004</v>
      </c>
      <c r="J73" s="48">
        <f>(($E73/(1-$J$9)))</f>
        <v>9280.2769230769245</v>
      </c>
      <c r="K73" s="48">
        <f>(($E73/(1-K$9)))</f>
        <v>12064.36</v>
      </c>
    </row>
    <row r="74" spans="2:11" ht="18.75" customHeight="1" x14ac:dyDescent="0.25">
      <c r="B74" s="401" t="s">
        <v>109</v>
      </c>
      <c r="C74" s="401"/>
      <c r="D74" s="401"/>
      <c r="E74" s="401"/>
      <c r="F74" s="401"/>
      <c r="G74" s="401"/>
      <c r="H74" s="78"/>
      <c r="I74" s="48"/>
      <c r="J74" s="48"/>
      <c r="K74" s="48"/>
    </row>
    <row r="75" spans="2:11" ht="18.75" customHeight="1" x14ac:dyDescent="0.25">
      <c r="B75" s="42" t="s">
        <v>120</v>
      </c>
      <c r="C75" s="43">
        <v>140</v>
      </c>
      <c r="D75" s="44" t="s">
        <v>121</v>
      </c>
      <c r="E75" s="45">
        <v>3007.06</v>
      </c>
      <c r="F75" s="79">
        <f>CEILING((K75/G$5),0.5)</f>
        <v>32509</v>
      </c>
      <c r="G75" s="46">
        <f>F75*$G$5</f>
        <v>12028.33</v>
      </c>
      <c r="H75" s="47">
        <f>((G75-E75)/G75)</f>
        <v>0.75000187058386325</v>
      </c>
      <c r="I75" s="48">
        <f>(($E75/(1-I$9)))</f>
        <v>7517.65</v>
      </c>
      <c r="J75" s="48">
        <f>(($E75/(1-$J$9)))</f>
        <v>9252.4923076923096</v>
      </c>
      <c r="K75" s="48">
        <f>(($E75/(1-K$9)))</f>
        <v>12028.24</v>
      </c>
    </row>
    <row r="76" spans="2:11" ht="18.75" customHeight="1" x14ac:dyDescent="0.25">
      <c r="B76" s="42" t="s">
        <v>122</v>
      </c>
      <c r="C76" s="43">
        <v>140</v>
      </c>
      <c r="D76" s="44" t="s">
        <v>123</v>
      </c>
      <c r="E76" s="45">
        <v>3105.65</v>
      </c>
      <c r="F76" s="79">
        <f>CEILING((K76/G$5),0.5)</f>
        <v>33575</v>
      </c>
      <c r="G76" s="46">
        <f>F76*$G$5</f>
        <v>12422.75</v>
      </c>
      <c r="H76" s="47">
        <f>((G76-E76)/G76)</f>
        <v>0.75000301865528973</v>
      </c>
      <c r="I76" s="48">
        <f>(($E76/(1-I$9)))</f>
        <v>7764.125</v>
      </c>
      <c r="J76" s="48">
        <f>(($E76/(1-$J$9)))</f>
        <v>9555.8461538461561</v>
      </c>
      <c r="K76" s="48">
        <f>(($E76/(1-K$9)))</f>
        <v>12422.6</v>
      </c>
    </row>
    <row r="77" spans="2:11" ht="18.75" customHeight="1" x14ac:dyDescent="0.25">
      <c r="B77" s="403" t="s">
        <v>124</v>
      </c>
      <c r="C77" s="403"/>
      <c r="D77" s="403"/>
      <c r="E77" s="403"/>
      <c r="F77" s="403"/>
      <c r="G77" s="403"/>
      <c r="H77" s="83"/>
      <c r="I77" s="48"/>
      <c r="J77" s="48"/>
      <c r="K77" s="48"/>
    </row>
    <row r="78" spans="2:11" ht="18.75" customHeight="1" x14ac:dyDescent="0.25">
      <c r="B78" s="404"/>
      <c r="C78" s="404"/>
      <c r="D78" s="404"/>
      <c r="E78" s="404"/>
      <c r="F78" s="404"/>
      <c r="G78" s="404"/>
      <c r="H78" s="84"/>
      <c r="I78" s="48"/>
      <c r="J78" s="48"/>
      <c r="K78" s="48"/>
    </row>
    <row r="79" spans="2:11" ht="18.75" customHeight="1" x14ac:dyDescent="0.25">
      <c r="B79" s="400" t="s">
        <v>125</v>
      </c>
      <c r="C79" s="400"/>
      <c r="D79" s="400"/>
      <c r="E79" s="400"/>
      <c r="F79" s="400"/>
      <c r="G79" s="400"/>
      <c r="H79" s="41"/>
      <c r="I79" s="48"/>
      <c r="J79" s="48"/>
      <c r="K79" s="48"/>
    </row>
    <row r="80" spans="2:11" ht="18.75" customHeight="1" x14ac:dyDescent="0.25">
      <c r="B80" s="396" t="s">
        <v>109</v>
      </c>
      <c r="C80" s="396"/>
      <c r="D80" s="396"/>
      <c r="E80" s="396"/>
      <c r="F80" s="396"/>
      <c r="G80" s="396"/>
      <c r="H80" s="78"/>
      <c r="I80" s="48"/>
      <c r="J80" s="48"/>
      <c r="K80" s="48"/>
    </row>
    <row r="81" spans="1:11" ht="18.75" customHeight="1" x14ac:dyDescent="0.25">
      <c r="B81" s="42" t="s">
        <v>126</v>
      </c>
      <c r="C81" s="43">
        <v>150</v>
      </c>
      <c r="D81" s="44" t="s">
        <v>456</v>
      </c>
      <c r="E81" s="45">
        <v>2114.9299999999998</v>
      </c>
      <c r="F81" s="79">
        <f>CEILING((K81/G$5),0.5)</f>
        <v>22864.5</v>
      </c>
      <c r="G81" s="46">
        <f>F81*$G$5</f>
        <v>8459.8649999999998</v>
      </c>
      <c r="H81" s="47">
        <f>((G81-E81)/G81)</f>
        <v>0.75000428493835303</v>
      </c>
      <c r="I81" s="48">
        <f>(($E81/(1-I$9)))</f>
        <v>5287.3249999999989</v>
      </c>
      <c r="J81" s="48">
        <f>(($E81/(1-$J$9)))</f>
        <v>6507.4769230769234</v>
      </c>
      <c r="K81" s="48">
        <f>(($E81/(1-K$9)))</f>
        <v>8459.7199999999993</v>
      </c>
    </row>
    <row r="82" spans="1:11" ht="18.75" customHeight="1" x14ac:dyDescent="0.25">
      <c r="B82" s="401" t="s">
        <v>127</v>
      </c>
      <c r="C82" s="401"/>
      <c r="D82" s="401"/>
      <c r="E82" s="401"/>
      <c r="F82" s="401"/>
      <c r="G82" s="401"/>
      <c r="H82" s="78"/>
      <c r="I82" s="48"/>
      <c r="J82" s="48"/>
      <c r="K82" s="48"/>
    </row>
    <row r="83" spans="1:11" ht="18.75" customHeight="1" x14ac:dyDescent="0.25">
      <c r="B83" s="42" t="s">
        <v>128</v>
      </c>
      <c r="C83" s="43">
        <v>150</v>
      </c>
      <c r="D83" s="44" t="s">
        <v>129</v>
      </c>
      <c r="E83" s="45">
        <v>2433.5</v>
      </c>
      <c r="F83" s="79">
        <f>CEILING((K83/G$5),0.5)</f>
        <v>26308.5</v>
      </c>
      <c r="G83" s="46">
        <f>F83*$G$5</f>
        <v>9734.1450000000004</v>
      </c>
      <c r="H83" s="47">
        <f>((G83-E83)/G83)</f>
        <v>0.7500037240045222</v>
      </c>
      <c r="I83" s="48">
        <f>(($E83/(1-I$9)))</f>
        <v>6083.75</v>
      </c>
      <c r="J83" s="48">
        <f>(($E83/(1-$J$9)))</f>
        <v>7487.6923076923085</v>
      </c>
      <c r="K83" s="48">
        <f>(($E83/(1-K$9)))</f>
        <v>9734</v>
      </c>
    </row>
    <row r="84" spans="1:11" ht="18.75" customHeight="1" x14ac:dyDescent="0.25">
      <c r="B84" s="398" t="s">
        <v>130</v>
      </c>
      <c r="C84" s="398"/>
      <c r="D84" s="398"/>
      <c r="E84" s="398"/>
      <c r="F84" s="398"/>
      <c r="G84" s="398"/>
      <c r="H84" s="51"/>
      <c r="I84" s="48"/>
      <c r="J84" s="48"/>
      <c r="K84" s="48"/>
    </row>
    <row r="85" spans="1:11" ht="18.75" customHeight="1" x14ac:dyDescent="0.25">
      <c r="B85" s="42" t="s">
        <v>131</v>
      </c>
      <c r="C85" s="43">
        <v>1</v>
      </c>
      <c r="D85" s="85" t="s">
        <v>132</v>
      </c>
      <c r="E85" s="68">
        <v>125.48</v>
      </c>
      <c r="F85" s="46">
        <f>CEILING((Master!F116*1.06),0.5)</f>
        <v>1840</v>
      </c>
      <c r="G85" s="46">
        <f>F85*$G$5</f>
        <v>680.8</v>
      </c>
      <c r="H85" s="47">
        <f>((G85-E85)/G85)</f>
        <v>0.81568742655699178</v>
      </c>
      <c r="I85" s="48">
        <f>(($E85/(1-I$9)))</f>
        <v>313.7</v>
      </c>
      <c r="J85" s="48">
        <f>(($E85/(1-$J$9)))</f>
        <v>386.09230769230777</v>
      </c>
      <c r="K85" s="48">
        <f>(($E85/(1-K$9)))</f>
        <v>501.92</v>
      </c>
    </row>
    <row r="86" spans="1:11" ht="18.75" customHeight="1" x14ac:dyDescent="0.25">
      <c r="B86" s="42" t="s">
        <v>133</v>
      </c>
      <c r="C86" s="43">
        <v>1</v>
      </c>
      <c r="D86" s="85" t="s">
        <v>134</v>
      </c>
      <c r="E86" s="68">
        <v>761.6</v>
      </c>
      <c r="F86" s="46">
        <f>CEILING((Master!F117*1.06),0.5)</f>
        <v>4338.5</v>
      </c>
      <c r="G86" s="46">
        <f>F86*$G$5</f>
        <v>1605.2449999999999</v>
      </c>
      <c r="H86" s="47">
        <f>((G86-E86)/G86)</f>
        <v>0.52555528906802385</v>
      </c>
      <c r="I86" s="48">
        <f>(($E86/(1-I$9)))</f>
        <v>1904</v>
      </c>
      <c r="J86" s="48">
        <f>(($E86/(1-$J$9)))</f>
        <v>2343.3846153846157</v>
      </c>
      <c r="K86" s="48">
        <f>(($E86/(1-K$9)))</f>
        <v>3046.4</v>
      </c>
    </row>
    <row r="87" spans="1:11" ht="18.75" customHeight="1" x14ac:dyDescent="0.25">
      <c r="B87" s="398"/>
      <c r="C87" s="398"/>
      <c r="D87" s="398"/>
      <c r="E87" s="398"/>
      <c r="F87" s="398"/>
      <c r="G87" s="398"/>
      <c r="H87" s="51"/>
      <c r="I87" s="48"/>
      <c r="J87" s="48"/>
      <c r="K87" s="48"/>
    </row>
    <row r="88" spans="1:11" ht="18.75" customHeight="1" x14ac:dyDescent="0.25">
      <c r="B88" s="398" t="s">
        <v>135</v>
      </c>
      <c r="C88" s="398"/>
      <c r="D88" s="398"/>
      <c r="E88" s="398"/>
      <c r="F88" s="398"/>
      <c r="G88" s="398"/>
      <c r="H88" s="51"/>
      <c r="I88" s="48"/>
      <c r="J88" s="48"/>
      <c r="K88" s="48"/>
    </row>
    <row r="89" spans="1:11" ht="18.75" customHeight="1" x14ac:dyDescent="0.25">
      <c r="B89" s="42" t="s">
        <v>136</v>
      </c>
      <c r="C89" s="43">
        <v>0.1</v>
      </c>
      <c r="D89" s="85" t="s">
        <v>137</v>
      </c>
      <c r="E89" s="86"/>
      <c r="F89" s="46">
        <v>55</v>
      </c>
      <c r="G89" s="46">
        <f>F89*$G$5</f>
        <v>20.350000000000001</v>
      </c>
      <c r="H89" s="47">
        <f>((G89-E89)/G89)</f>
        <v>1</v>
      </c>
      <c r="I89" s="48">
        <f>(($E89/(1-I$9)))</f>
        <v>0</v>
      </c>
      <c r="J89" s="48">
        <f>(($E89/(1-$J$9)))</f>
        <v>0</v>
      </c>
      <c r="K89" s="48">
        <f>(($E89/(1-K$9)))</f>
        <v>0</v>
      </c>
    </row>
    <row r="90" spans="1:11" ht="18.75" customHeight="1" x14ac:dyDescent="0.25">
      <c r="B90" s="42" t="s">
        <v>138</v>
      </c>
      <c r="C90" s="43">
        <v>0.1</v>
      </c>
      <c r="D90" s="85" t="s">
        <v>139</v>
      </c>
      <c r="E90" s="86"/>
      <c r="F90" s="46">
        <v>55</v>
      </c>
      <c r="G90" s="46">
        <f>F90*$G$5</f>
        <v>20.350000000000001</v>
      </c>
      <c r="H90" s="47">
        <f>((G90-E90)/G90)</f>
        <v>1</v>
      </c>
      <c r="I90" s="48">
        <f>(($E90/(1-I$9)))</f>
        <v>0</v>
      </c>
      <c r="J90" s="48">
        <f>(($E90/(1-$J$9)))</f>
        <v>0</v>
      </c>
      <c r="K90" s="48">
        <f>(($E90/(1-K$9)))</f>
        <v>0</v>
      </c>
    </row>
    <row r="91" spans="1:11" ht="18.75" customHeight="1" x14ac:dyDescent="0.25">
      <c r="B91" s="42" t="s">
        <v>140</v>
      </c>
      <c r="C91" s="43">
        <v>0.1</v>
      </c>
      <c r="D91" s="85" t="s">
        <v>141</v>
      </c>
      <c r="E91" s="86"/>
      <c r="F91" s="46">
        <v>55</v>
      </c>
      <c r="G91" s="46">
        <f>F91*$G$5</f>
        <v>20.350000000000001</v>
      </c>
      <c r="H91" s="47">
        <f>((G91-E91)/G91)</f>
        <v>1</v>
      </c>
      <c r="I91" s="48">
        <f>(($E91/(1-I$9)))</f>
        <v>0</v>
      </c>
      <c r="J91" s="48">
        <f>(($E91/(1-$J$9)))</f>
        <v>0</v>
      </c>
      <c r="K91" s="48">
        <f>(($E91/(1-K$9)))</f>
        <v>0</v>
      </c>
    </row>
    <row r="92" spans="1:11" ht="18.75" customHeight="1" x14ac:dyDescent="0.25">
      <c r="A92" t="s">
        <v>142</v>
      </c>
      <c r="B92" s="87" t="s">
        <v>143</v>
      </c>
      <c r="C92" s="88">
        <v>0.1</v>
      </c>
      <c r="D92" s="89" t="s">
        <v>144</v>
      </c>
      <c r="E92" s="86"/>
      <c r="F92" s="90">
        <v>55</v>
      </c>
      <c r="G92" s="90">
        <f>F92*$G$5</f>
        <v>20.350000000000001</v>
      </c>
      <c r="H92" s="47">
        <f>((G92-E92)/G92)</f>
        <v>1</v>
      </c>
      <c r="I92" s="48">
        <f>(($E92/(1-I$9)))</f>
        <v>0</v>
      </c>
      <c r="J92" s="48">
        <f>(($E92/(1-$J$9)))</f>
        <v>0</v>
      </c>
      <c r="K92" s="48">
        <f>(($E92/(1-K$9)))</f>
        <v>0</v>
      </c>
    </row>
    <row r="93" spans="1:11" ht="18.75" customHeight="1" x14ac:dyDescent="0.25">
      <c r="B93" s="42" t="s">
        <v>145</v>
      </c>
      <c r="C93" s="43">
        <v>0.1</v>
      </c>
      <c r="D93" s="85" t="s">
        <v>146</v>
      </c>
      <c r="E93" s="86"/>
      <c r="F93" s="46">
        <v>55</v>
      </c>
      <c r="G93" s="46">
        <f>F93*$G$5</f>
        <v>20.350000000000001</v>
      </c>
      <c r="H93" s="47">
        <f>((G93-E93)/G93)</f>
        <v>1</v>
      </c>
      <c r="I93" s="48">
        <f>(($E93/(1-I$9)))</f>
        <v>0</v>
      </c>
      <c r="J93" s="48">
        <f>(($E93/(1-$J$9)))</f>
        <v>0</v>
      </c>
      <c r="K93" s="48">
        <f>(($E93/(1-K$9)))</f>
        <v>0</v>
      </c>
    </row>
    <row r="94" spans="1:11" ht="18.75" customHeight="1" x14ac:dyDescent="0.25">
      <c r="B94" s="399" t="s">
        <v>147</v>
      </c>
      <c r="C94" s="399"/>
      <c r="D94" s="399"/>
      <c r="E94" s="399"/>
      <c r="F94" s="399"/>
      <c r="G94" s="399"/>
      <c r="H94" s="51"/>
      <c r="I94" s="48"/>
      <c r="J94" s="48"/>
      <c r="K94" s="48"/>
    </row>
    <row r="95" spans="1:11" ht="19.7" customHeight="1" x14ac:dyDescent="0.25">
      <c r="B95" s="392" t="s">
        <v>148</v>
      </c>
      <c r="C95" s="392"/>
      <c r="D95" s="392"/>
      <c r="E95" s="392"/>
      <c r="F95" s="392"/>
      <c r="G95" s="392"/>
      <c r="H95" s="91"/>
      <c r="I95" s="48"/>
      <c r="J95" s="48"/>
      <c r="K95" s="48"/>
    </row>
    <row r="96" spans="1:11" ht="18.75" customHeight="1" x14ac:dyDescent="0.25">
      <c r="B96" s="398" t="s">
        <v>149</v>
      </c>
      <c r="C96" s="398"/>
      <c r="D96" s="398"/>
      <c r="E96" s="398"/>
      <c r="F96" s="398"/>
      <c r="G96" s="398"/>
      <c r="H96" s="51"/>
      <c r="I96" s="48"/>
      <c r="J96" s="48"/>
      <c r="K96" s="48"/>
    </row>
    <row r="97" spans="1:11" ht="18.75" customHeight="1" x14ac:dyDescent="0.25">
      <c r="B97" s="42" t="s">
        <v>150</v>
      </c>
      <c r="C97" s="43">
        <v>12</v>
      </c>
      <c r="D97" s="52" t="s">
        <v>151</v>
      </c>
      <c r="E97" s="68">
        <v>288.17</v>
      </c>
      <c r="F97" s="46">
        <f>CEILING((Master!F121*1.06),0.5)</f>
        <v>6159</v>
      </c>
      <c r="G97" s="46">
        <f>F97*$G$5</f>
        <v>2278.83</v>
      </c>
      <c r="H97" s="47">
        <f>((G97-E97)/G97)</f>
        <v>0.87354475761684724</v>
      </c>
      <c r="I97" s="48">
        <f>(($E97/(1-I$9)))</f>
        <v>720.42499999999995</v>
      </c>
      <c r="J97" s="48">
        <f>(($E97/(1-$J$9)))</f>
        <v>886.67692307692323</v>
      </c>
      <c r="K97" s="48">
        <f>(($E97/(1-K$9)))</f>
        <v>1152.68</v>
      </c>
    </row>
    <row r="98" spans="1:11" ht="18.75" customHeight="1" x14ac:dyDescent="0.25">
      <c r="B98" s="42" t="s">
        <v>152</v>
      </c>
      <c r="C98" s="43">
        <v>12</v>
      </c>
      <c r="D98" s="49" t="s">
        <v>153</v>
      </c>
      <c r="E98" s="92">
        <v>369.04</v>
      </c>
      <c r="F98" s="46">
        <f>CEILING((Master!F122*1.06),0.5)</f>
        <v>6347.5</v>
      </c>
      <c r="G98" s="46">
        <f>F98*$G$5</f>
        <v>2348.5749999999998</v>
      </c>
      <c r="H98" s="47">
        <f>((G98-E98)/G98)</f>
        <v>0.84286641899875459</v>
      </c>
      <c r="I98" s="48">
        <f>(($E98/(1-I$9)))</f>
        <v>922.6</v>
      </c>
      <c r="J98" s="48">
        <f>(($E98/(1-$J$9)))</f>
        <v>1135.5076923076924</v>
      </c>
      <c r="K98" s="48">
        <f>(($E98/(1-K$9)))</f>
        <v>1476.16</v>
      </c>
    </row>
    <row r="99" spans="1:11" ht="18.75" customHeight="1" x14ac:dyDescent="0.25">
      <c r="B99" s="393"/>
      <c r="C99" s="393"/>
      <c r="D99" s="393"/>
      <c r="E99" s="393"/>
      <c r="F99" s="393"/>
      <c r="G99" s="393"/>
      <c r="H99" s="77"/>
      <c r="I99" s="48"/>
      <c r="J99" s="48"/>
      <c r="K99" s="48"/>
    </row>
    <row r="100" spans="1:11" ht="18.75" customHeight="1" x14ac:dyDescent="0.25">
      <c r="B100" s="398" t="s">
        <v>154</v>
      </c>
      <c r="C100" s="398"/>
      <c r="D100" s="398"/>
      <c r="E100" s="398"/>
      <c r="F100" s="398"/>
      <c r="G100" s="398"/>
      <c r="H100" s="51"/>
      <c r="I100" s="48"/>
      <c r="J100" s="48"/>
      <c r="K100" s="48"/>
    </row>
    <row r="101" spans="1:11" ht="18.75" customHeight="1" x14ac:dyDescent="0.25">
      <c r="B101" s="42" t="s">
        <v>155</v>
      </c>
      <c r="C101" s="43">
        <v>320</v>
      </c>
      <c r="D101" s="52" t="s">
        <v>156</v>
      </c>
      <c r="E101" s="45">
        <v>851.09</v>
      </c>
      <c r="F101" s="79">
        <f>CEILING((I101/0.37),0.5)</f>
        <v>5751</v>
      </c>
      <c r="G101" s="46">
        <f>F101*$G$5</f>
        <v>2127.87</v>
      </c>
      <c r="H101" s="47">
        <f>((G101-E101)/G101)</f>
        <v>0.60002725730425255</v>
      </c>
      <c r="I101" s="48">
        <f>(($E101/(1-I$9)))</f>
        <v>2127.7249999999999</v>
      </c>
      <c r="J101" s="48">
        <f>(($E101/(1-$J$9)))</f>
        <v>2618.7384615384622</v>
      </c>
      <c r="K101" s="48">
        <f>(($E101/(1-K$9)))</f>
        <v>3404.36</v>
      </c>
    </row>
    <row r="102" spans="1:11" ht="18.75" customHeight="1" x14ac:dyDescent="0.25">
      <c r="B102" s="42" t="s">
        <v>157</v>
      </c>
      <c r="C102" s="43">
        <v>134</v>
      </c>
      <c r="D102" s="52" t="s">
        <v>158</v>
      </c>
      <c r="E102" s="45">
        <v>341.67</v>
      </c>
      <c r="F102" s="79">
        <v>2308.5</v>
      </c>
      <c r="G102" s="46">
        <f>F102*$G$5</f>
        <v>854.14499999999998</v>
      </c>
      <c r="H102" s="47">
        <f>((G102-E102)/G102)</f>
        <v>0.59998595086314377</v>
      </c>
      <c r="I102" s="48">
        <f>(($E102/(1-I$9)))</f>
        <v>854.17499999999995</v>
      </c>
      <c r="J102" s="48">
        <f>(($E102/(1-$J$9)))</f>
        <v>1051.292307692308</v>
      </c>
      <c r="K102" s="48">
        <f>(($E102/(1-K$9)))</f>
        <v>1366.68</v>
      </c>
    </row>
    <row r="103" spans="1:11" ht="18.75" customHeight="1" x14ac:dyDescent="0.25">
      <c r="B103" s="87" t="s">
        <v>155</v>
      </c>
      <c r="C103" s="88">
        <v>320</v>
      </c>
      <c r="D103" s="93" t="s">
        <v>159</v>
      </c>
      <c r="E103" s="45">
        <v>851.09</v>
      </c>
      <c r="F103" s="94">
        <f>CEILING((I103/0.37),0.5)</f>
        <v>5000</v>
      </c>
      <c r="G103" s="46">
        <f>F103*$G$5</f>
        <v>1850</v>
      </c>
      <c r="H103" s="47">
        <f>((G103-E103)/G103)</f>
        <v>0.53995135135135131</v>
      </c>
      <c r="I103" s="48">
        <v>1850</v>
      </c>
      <c r="J103" s="48">
        <f>(($E103/(1-$J$9)))</f>
        <v>2618.7384615384622</v>
      </c>
      <c r="K103" s="48">
        <f>(($E103/(1-K$9)))</f>
        <v>3404.36</v>
      </c>
    </row>
    <row r="104" spans="1:11" ht="18.75" customHeight="1" x14ac:dyDescent="0.25">
      <c r="B104" s="87" t="s">
        <v>157</v>
      </c>
      <c r="C104" s="88">
        <v>134</v>
      </c>
      <c r="D104" s="93" t="s">
        <v>160</v>
      </c>
      <c r="E104" s="45">
        <v>341.67</v>
      </c>
      <c r="F104" s="94">
        <f>CEILING((I104/G$5),0.5)</f>
        <v>2309</v>
      </c>
      <c r="G104" s="46">
        <f>F104*$G$5</f>
        <v>854.33</v>
      </c>
      <c r="H104" s="47">
        <f>((G104-E104)/G104)</f>
        <v>0.60007257148876902</v>
      </c>
      <c r="I104" s="48">
        <f>(($E104/(1-I$9)))</f>
        <v>854.17499999999995</v>
      </c>
      <c r="J104" s="48">
        <f>(($E104/(1-$J$9)))</f>
        <v>1051.292307692308</v>
      </c>
      <c r="K104" s="48">
        <f>(($E104/(1-K$9)))</f>
        <v>1366.68</v>
      </c>
    </row>
    <row r="105" spans="1:11" ht="18.75" customHeight="1" x14ac:dyDescent="0.25">
      <c r="B105" s="393"/>
      <c r="C105" s="393"/>
      <c r="D105" s="393"/>
      <c r="E105" s="393"/>
      <c r="F105" s="393"/>
      <c r="G105" s="393"/>
      <c r="H105" s="77"/>
      <c r="I105" s="48"/>
      <c r="J105" s="48"/>
      <c r="K105" s="48"/>
    </row>
    <row r="106" spans="1:11" ht="18.75" customHeight="1" x14ac:dyDescent="0.25">
      <c r="B106" s="398" t="s">
        <v>161</v>
      </c>
      <c r="C106" s="398"/>
      <c r="D106" s="398"/>
      <c r="E106" s="398"/>
      <c r="F106" s="398"/>
      <c r="G106" s="398"/>
      <c r="H106" s="51"/>
      <c r="I106" s="48"/>
      <c r="J106" s="48"/>
      <c r="K106" s="48"/>
    </row>
    <row r="107" spans="1:11" ht="18.75" customHeight="1" x14ac:dyDescent="0.25">
      <c r="B107" s="42" t="s">
        <v>162</v>
      </c>
      <c r="C107" s="43">
        <v>5</v>
      </c>
      <c r="D107" s="44" t="s">
        <v>163</v>
      </c>
      <c r="E107" s="45">
        <v>551.34259999999995</v>
      </c>
      <c r="F107" s="46">
        <f>CEILING((Master!F128*1.06),0.5)</f>
        <v>6391.5</v>
      </c>
      <c r="G107" s="46">
        <f t="shared" ref="G107:G116" si="10">F107*$G$5</f>
        <v>2364.855</v>
      </c>
      <c r="H107" s="47">
        <f t="shared" ref="H107:H116" si="11">((G107-E107)/G107)</f>
        <v>0.7668598709011758</v>
      </c>
      <c r="I107" s="48">
        <f t="shared" ref="I107:I116" si="12">(($E107/(1-I$9)))</f>
        <v>1378.3564999999999</v>
      </c>
      <c r="J107" s="48">
        <f t="shared" ref="J107:J116" si="13">(($E107/(1-$J$9)))</f>
        <v>1696.4387692307694</v>
      </c>
      <c r="K107" s="48">
        <f t="shared" ref="K107:K116" si="14">(($E107/(1-K$9)))</f>
        <v>2205.3703999999998</v>
      </c>
    </row>
    <row r="108" spans="1:11" ht="18.75" customHeight="1" x14ac:dyDescent="0.25">
      <c r="B108" s="42" t="s">
        <v>164</v>
      </c>
      <c r="C108" s="43">
        <v>2</v>
      </c>
      <c r="D108" s="44" t="s">
        <v>165</v>
      </c>
      <c r="E108" s="45">
        <v>130.0367</v>
      </c>
      <c r="F108" s="46">
        <f>CEILING((Master!F129*1.06),0.5)</f>
        <v>1513</v>
      </c>
      <c r="G108" s="46">
        <f t="shared" si="10"/>
        <v>559.80999999999995</v>
      </c>
      <c r="H108" s="47">
        <f t="shared" si="11"/>
        <v>0.7677127954127293</v>
      </c>
      <c r="I108" s="48">
        <f t="shared" si="12"/>
        <v>325.09174999999999</v>
      </c>
      <c r="J108" s="48">
        <f t="shared" si="13"/>
        <v>400.1129230769231</v>
      </c>
      <c r="K108" s="48">
        <f t="shared" si="14"/>
        <v>520.14679999999998</v>
      </c>
    </row>
    <row r="109" spans="1:11" ht="18.75" customHeight="1" x14ac:dyDescent="0.25">
      <c r="B109" s="42" t="s">
        <v>166</v>
      </c>
      <c r="C109" s="43">
        <v>2</v>
      </c>
      <c r="D109" s="52" t="s">
        <v>167</v>
      </c>
      <c r="E109" s="45">
        <v>136.3425</v>
      </c>
      <c r="F109" s="46">
        <f>CEILING((Master!F130*1.06),0.5)</f>
        <v>2355.5</v>
      </c>
      <c r="G109" s="46">
        <f t="shared" si="10"/>
        <v>871.53499999999997</v>
      </c>
      <c r="H109" s="47">
        <f t="shared" si="11"/>
        <v>0.84356049957833024</v>
      </c>
      <c r="I109" s="48">
        <f t="shared" si="12"/>
        <v>340.85624999999999</v>
      </c>
      <c r="J109" s="48">
        <f t="shared" si="13"/>
        <v>419.51538461538468</v>
      </c>
      <c r="K109" s="48">
        <f t="shared" si="14"/>
        <v>545.37</v>
      </c>
    </row>
    <row r="110" spans="1:11" ht="18.75" customHeight="1" x14ac:dyDescent="0.25">
      <c r="A110" t="s">
        <v>142</v>
      </c>
      <c r="B110" s="87" t="s">
        <v>168</v>
      </c>
      <c r="C110" s="88">
        <v>5</v>
      </c>
      <c r="D110" s="93" t="s">
        <v>169</v>
      </c>
      <c r="E110" s="45">
        <v>550.49</v>
      </c>
      <c r="F110" s="90">
        <v>2975.5</v>
      </c>
      <c r="G110" s="46">
        <f t="shared" si="10"/>
        <v>1100.9349999999999</v>
      </c>
      <c r="H110" s="47">
        <f t="shared" si="11"/>
        <v>0.4999795628261432</v>
      </c>
      <c r="I110" s="48">
        <f t="shared" si="12"/>
        <v>1376.2249999999999</v>
      </c>
      <c r="J110" s="48">
        <f t="shared" si="13"/>
        <v>1693.8153846153848</v>
      </c>
      <c r="K110" s="48">
        <f t="shared" si="14"/>
        <v>2201.96</v>
      </c>
    </row>
    <row r="111" spans="1:11" ht="18.75" customHeight="1" x14ac:dyDescent="0.25">
      <c r="A111" t="s">
        <v>142</v>
      </c>
      <c r="B111" s="87" t="s">
        <v>170</v>
      </c>
      <c r="C111" s="88">
        <v>2</v>
      </c>
      <c r="D111" s="93" t="s">
        <v>171</v>
      </c>
      <c r="E111" s="45">
        <v>133.22</v>
      </c>
      <c r="F111" s="90">
        <v>720</v>
      </c>
      <c r="G111" s="46">
        <f t="shared" si="10"/>
        <v>266.39999999999998</v>
      </c>
      <c r="H111" s="47">
        <f t="shared" si="11"/>
        <v>0.49992492492492491</v>
      </c>
      <c r="I111" s="48">
        <f t="shared" si="12"/>
        <v>333.04999999999995</v>
      </c>
      <c r="J111" s="48">
        <f t="shared" si="13"/>
        <v>409.90769230769234</v>
      </c>
      <c r="K111" s="48">
        <f t="shared" si="14"/>
        <v>532.88</v>
      </c>
    </row>
    <row r="112" spans="1:11" ht="18.75" customHeight="1" x14ac:dyDescent="0.25">
      <c r="B112" s="42" t="s">
        <v>172</v>
      </c>
      <c r="C112" s="43">
        <v>1</v>
      </c>
      <c r="D112" s="44" t="s">
        <v>173</v>
      </c>
      <c r="E112" s="45">
        <v>8.3373000000000008</v>
      </c>
      <c r="F112" s="46">
        <f>CEILING((Master!F131*1.06),0.5)</f>
        <v>149.5</v>
      </c>
      <c r="G112" s="46">
        <f t="shared" si="10"/>
        <v>55.314999999999998</v>
      </c>
      <c r="H112" s="47">
        <f t="shared" si="11"/>
        <v>0.84927596492813884</v>
      </c>
      <c r="I112" s="48">
        <f t="shared" si="12"/>
        <v>20.843250000000001</v>
      </c>
      <c r="J112" s="48">
        <f t="shared" si="13"/>
        <v>25.653230769230774</v>
      </c>
      <c r="K112" s="48">
        <f t="shared" si="14"/>
        <v>33.349200000000003</v>
      </c>
    </row>
    <row r="113" spans="2:11" ht="18.75" customHeight="1" x14ac:dyDescent="0.25">
      <c r="B113" s="42" t="s">
        <v>174</v>
      </c>
      <c r="C113" s="43">
        <v>1</v>
      </c>
      <c r="D113" s="44" t="s">
        <v>175</v>
      </c>
      <c r="E113" s="45">
        <v>6.9394999999999998</v>
      </c>
      <c r="F113" s="46">
        <f>CEILING((Master!F132*1.06),0.5)</f>
        <v>126.5</v>
      </c>
      <c r="G113" s="46">
        <f t="shared" si="10"/>
        <v>46.805</v>
      </c>
      <c r="H113" s="47">
        <f t="shared" si="11"/>
        <v>0.85173592564896905</v>
      </c>
      <c r="I113" s="48">
        <f t="shared" si="12"/>
        <v>17.348749999999999</v>
      </c>
      <c r="J113" s="48">
        <f t="shared" si="13"/>
        <v>21.352307692307694</v>
      </c>
      <c r="K113" s="48">
        <f t="shared" si="14"/>
        <v>27.757999999999999</v>
      </c>
    </row>
    <row r="114" spans="2:11" ht="18.75" customHeight="1" x14ac:dyDescent="0.25">
      <c r="B114" s="42" t="s">
        <v>176</v>
      </c>
      <c r="C114" s="43">
        <v>1</v>
      </c>
      <c r="D114" s="44" t="s">
        <v>177</v>
      </c>
      <c r="E114" s="45">
        <v>48.146799999999999</v>
      </c>
      <c r="F114" s="46">
        <f>CEILING((Master!F133*1.06),0.5)</f>
        <v>757</v>
      </c>
      <c r="G114" s="46">
        <f t="shared" si="10"/>
        <v>280.08999999999997</v>
      </c>
      <c r="H114" s="47">
        <f t="shared" si="11"/>
        <v>0.82810239565853838</v>
      </c>
      <c r="I114" s="48">
        <f t="shared" si="12"/>
        <v>120.36699999999999</v>
      </c>
      <c r="J114" s="48">
        <f t="shared" si="13"/>
        <v>148.14400000000001</v>
      </c>
      <c r="K114" s="48">
        <f t="shared" si="14"/>
        <v>192.5872</v>
      </c>
    </row>
    <row r="115" spans="2:11" ht="18.75" customHeight="1" x14ac:dyDescent="0.25">
      <c r="B115" s="42" t="s">
        <v>178</v>
      </c>
      <c r="C115" s="43">
        <v>1</v>
      </c>
      <c r="D115" s="52" t="s">
        <v>179</v>
      </c>
      <c r="E115" s="45">
        <v>89.886799999999994</v>
      </c>
      <c r="F115" s="46">
        <f>CEILING((Master!F134*1.06),0.5)</f>
        <v>757</v>
      </c>
      <c r="G115" s="46">
        <f t="shared" si="10"/>
        <v>280.08999999999997</v>
      </c>
      <c r="H115" s="47">
        <f t="shared" si="11"/>
        <v>0.67907886750687274</v>
      </c>
      <c r="I115" s="48">
        <f t="shared" si="12"/>
        <v>224.71699999999998</v>
      </c>
      <c r="J115" s="48">
        <f t="shared" si="13"/>
        <v>276.57476923076928</v>
      </c>
      <c r="K115" s="48">
        <f t="shared" si="14"/>
        <v>359.54719999999998</v>
      </c>
    </row>
    <row r="116" spans="2:11" ht="18.75" customHeight="1" x14ac:dyDescent="0.25">
      <c r="B116" s="42" t="s">
        <v>180</v>
      </c>
      <c r="C116" s="43">
        <v>20</v>
      </c>
      <c r="D116" s="49" t="s">
        <v>181</v>
      </c>
      <c r="E116" s="50">
        <v>768.69</v>
      </c>
      <c r="F116" s="46">
        <f>CEILING((Master!F135*1.06),0.5)</f>
        <v>6458.5</v>
      </c>
      <c r="G116" s="46">
        <f t="shared" si="10"/>
        <v>2389.645</v>
      </c>
      <c r="H116" s="47">
        <f t="shared" si="11"/>
        <v>0.67832460470069822</v>
      </c>
      <c r="I116" s="48">
        <f t="shared" si="12"/>
        <v>1921.7250000000001</v>
      </c>
      <c r="J116" s="48">
        <f t="shared" si="13"/>
        <v>2365.2000000000003</v>
      </c>
      <c r="K116" s="48">
        <f t="shared" si="14"/>
        <v>3074.76</v>
      </c>
    </row>
    <row r="117" spans="2:11" ht="18.75" customHeight="1" x14ac:dyDescent="0.25">
      <c r="B117" s="393"/>
      <c r="C117" s="393"/>
      <c r="D117" s="393"/>
      <c r="E117" s="393"/>
      <c r="F117" s="393"/>
      <c r="G117" s="393"/>
      <c r="H117" s="77"/>
      <c r="I117" s="48"/>
      <c r="J117" s="48"/>
      <c r="K117" s="48"/>
    </row>
    <row r="118" spans="2:11" ht="18.75" customHeight="1" x14ac:dyDescent="0.25">
      <c r="B118" s="398" t="s">
        <v>182</v>
      </c>
      <c r="C118" s="398"/>
      <c r="D118" s="398"/>
      <c r="E118" s="398"/>
      <c r="F118" s="398"/>
      <c r="G118" s="398"/>
      <c r="H118" s="51"/>
      <c r="I118" s="48"/>
      <c r="J118" s="48"/>
      <c r="K118" s="48"/>
    </row>
    <row r="119" spans="2:11" ht="18.75" customHeight="1" x14ac:dyDescent="0.25">
      <c r="B119" s="42" t="s">
        <v>183</v>
      </c>
      <c r="C119" s="95"/>
      <c r="D119" s="96"/>
      <c r="E119" s="97"/>
      <c r="F119" s="98" t="s">
        <v>184</v>
      </c>
      <c r="G119" s="46"/>
      <c r="H119" s="99"/>
      <c r="I119" s="48">
        <f>(($E119/(1-I$9)))</f>
        <v>0</v>
      </c>
      <c r="J119" s="48">
        <f>(($E119/(1-$J$9)))</f>
        <v>0</v>
      </c>
      <c r="K119" s="48">
        <f>(($E119/(1-K$9)))</f>
        <v>0</v>
      </c>
    </row>
    <row r="120" spans="2:11" ht="18.75" customHeight="1" x14ac:dyDescent="0.25">
      <c r="B120" s="42" t="s">
        <v>185</v>
      </c>
      <c r="C120" s="100"/>
      <c r="D120" s="49"/>
      <c r="E120" s="101"/>
      <c r="F120" s="98" t="s">
        <v>184</v>
      </c>
      <c r="G120" s="46"/>
      <c r="H120" s="99"/>
      <c r="I120" s="48">
        <f>(($E120/(1-I$9)))</f>
        <v>0</v>
      </c>
      <c r="J120" s="48">
        <f>(($E120/(1-$J$9)))</f>
        <v>0</v>
      </c>
      <c r="K120" s="48">
        <f>(($E120/(1-K$9)))</f>
        <v>0</v>
      </c>
    </row>
    <row r="121" spans="2:11" ht="18.75" customHeight="1" x14ac:dyDescent="0.25">
      <c r="B121" s="42" t="s">
        <v>186</v>
      </c>
      <c r="C121" s="100"/>
      <c r="D121" s="49"/>
      <c r="E121" s="102"/>
      <c r="F121" s="98" t="s">
        <v>184</v>
      </c>
      <c r="G121" s="46"/>
      <c r="H121" s="99"/>
      <c r="I121" s="48">
        <f>(($E121/(1-I$9)))</f>
        <v>0</v>
      </c>
      <c r="J121" s="48">
        <f>(($E121/(1-$J$9)))</f>
        <v>0</v>
      </c>
      <c r="K121" s="48">
        <f>(($E121/(1-K$9)))</f>
        <v>0</v>
      </c>
    </row>
    <row r="122" spans="2:11" ht="18.75" customHeight="1" x14ac:dyDescent="0.25">
      <c r="B122" s="393"/>
      <c r="C122" s="393"/>
      <c r="D122" s="393"/>
      <c r="E122" s="393"/>
      <c r="F122" s="393"/>
      <c r="G122" s="393"/>
      <c r="H122" s="77"/>
      <c r="I122" s="48"/>
      <c r="J122" s="48"/>
      <c r="K122" s="48"/>
    </row>
    <row r="123" spans="2:11" ht="18.75" customHeight="1" x14ac:dyDescent="0.25">
      <c r="B123" s="398" t="s">
        <v>187</v>
      </c>
      <c r="C123" s="398"/>
      <c r="D123" s="398"/>
      <c r="E123" s="398"/>
      <c r="F123" s="398"/>
      <c r="G123" s="398"/>
      <c r="H123" s="51"/>
      <c r="I123" s="48"/>
      <c r="J123" s="48"/>
      <c r="K123" s="48"/>
    </row>
    <row r="124" spans="2:11" ht="18.75" customHeight="1" x14ac:dyDescent="0.25">
      <c r="B124" s="42" t="s">
        <v>188</v>
      </c>
      <c r="C124" s="43">
        <v>5</v>
      </c>
      <c r="D124" s="44" t="s">
        <v>189</v>
      </c>
      <c r="E124" s="45">
        <v>271.50873000000001</v>
      </c>
      <c r="F124" s="46">
        <f>CEILING((Master!F147*1.06),0.5)</f>
        <v>1916</v>
      </c>
      <c r="G124" s="46">
        <f>F124*$G$5</f>
        <v>708.92</v>
      </c>
      <c r="H124" s="47">
        <f>((G124-E124)/G124)</f>
        <v>0.61701076285053313</v>
      </c>
      <c r="I124" s="48">
        <f>(($E124/(1-I$9)))</f>
        <v>678.77182500000004</v>
      </c>
      <c r="J124" s="48">
        <f>(($E124/(1-$J$9)))</f>
        <v>835.41147692307709</v>
      </c>
      <c r="K124" s="48">
        <f>(($E124/(1-K$9)))</f>
        <v>1086.0349200000001</v>
      </c>
    </row>
    <row r="125" spans="2:11" ht="18.75" customHeight="1" x14ac:dyDescent="0.25">
      <c r="B125" s="42" t="s">
        <v>190</v>
      </c>
      <c r="C125" s="43">
        <v>15</v>
      </c>
      <c r="D125" s="44" t="s">
        <v>191</v>
      </c>
      <c r="E125" s="45">
        <v>373.78922</v>
      </c>
      <c r="F125" s="46">
        <f>CEILING((Master!F149*1.06),0.5)</f>
        <v>2842.5</v>
      </c>
      <c r="G125" s="46">
        <f>F125*$G$5</f>
        <v>1051.7249999999999</v>
      </c>
      <c r="H125" s="47">
        <f>((G125-E125)/G125)</f>
        <v>0.64459414770971502</v>
      </c>
      <c r="I125" s="48">
        <f>(($E125/(1-I$9)))</f>
        <v>934.47304999999994</v>
      </c>
      <c r="J125" s="48">
        <f>(($E125/(1-$J$9)))</f>
        <v>1150.1206769230771</v>
      </c>
      <c r="K125" s="48">
        <f>(($E125/(1-K$9)))</f>
        <v>1495.15688</v>
      </c>
    </row>
    <row r="126" spans="2:11" ht="18.75" customHeight="1" x14ac:dyDescent="0.25">
      <c r="B126" s="42" t="s">
        <v>192</v>
      </c>
      <c r="C126" s="43">
        <v>50</v>
      </c>
      <c r="D126" s="49" t="s">
        <v>193</v>
      </c>
      <c r="E126" s="50">
        <v>466.21417000000002</v>
      </c>
      <c r="F126" s="46">
        <f>CEILING((Master!F150*1.06),0.5)</f>
        <v>3260.5</v>
      </c>
      <c r="G126" s="46">
        <f>F126*$G$5</f>
        <v>1206.385</v>
      </c>
      <c r="H126" s="47">
        <f>((G126-E126)/G126)</f>
        <v>0.61354445720064488</v>
      </c>
      <c r="I126" s="48">
        <f>(($E126/(1-I$9)))</f>
        <v>1165.535425</v>
      </c>
      <c r="J126" s="48">
        <f>(($E126/(1-$J$9)))</f>
        <v>1434.5051384615388</v>
      </c>
      <c r="K126" s="48">
        <f>(($E126/(1-K$9)))</f>
        <v>1864.8566800000001</v>
      </c>
    </row>
    <row r="127" spans="2:11" ht="18.75" customHeight="1" x14ac:dyDescent="0.25">
      <c r="B127" s="393"/>
      <c r="C127" s="393"/>
      <c r="D127" s="393"/>
      <c r="E127" s="393"/>
      <c r="F127" s="393"/>
      <c r="G127" s="393"/>
      <c r="H127" s="77"/>
      <c r="I127" s="48"/>
      <c r="J127" s="48"/>
      <c r="K127" s="48"/>
    </row>
    <row r="128" spans="2:11" ht="18.75" customHeight="1" x14ac:dyDescent="0.25">
      <c r="B128" s="398" t="s">
        <v>194</v>
      </c>
      <c r="C128" s="398"/>
      <c r="D128" s="398"/>
      <c r="E128" s="398"/>
      <c r="F128" s="398"/>
      <c r="G128" s="398"/>
      <c r="H128" s="51"/>
      <c r="I128" s="48"/>
      <c r="J128" s="48"/>
      <c r="K128" s="48"/>
    </row>
    <row r="129" spans="2:11" ht="18.75" customHeight="1" x14ac:dyDescent="0.25">
      <c r="B129" s="42" t="s">
        <v>195</v>
      </c>
      <c r="C129" s="43">
        <v>12</v>
      </c>
      <c r="D129" s="52" t="s">
        <v>196</v>
      </c>
      <c r="E129" s="68">
        <v>227.197</v>
      </c>
      <c r="F129" s="46">
        <f>CEILING((Master!F153*1.06),0.5)</f>
        <v>3399.5</v>
      </c>
      <c r="G129" s="46">
        <f>F129*$G$5</f>
        <v>1257.8150000000001</v>
      </c>
      <c r="H129" s="47">
        <f>((G129-E129)/G129)</f>
        <v>0.81937168820534012</v>
      </c>
      <c r="I129" s="48">
        <f>(($E129/(1-I$9)))</f>
        <v>567.99249999999995</v>
      </c>
      <c r="J129" s="48">
        <f>(($E129/(1-$J$9)))</f>
        <v>699.06769230769237</v>
      </c>
      <c r="K129" s="48">
        <f>(($E129/(1-K$9)))</f>
        <v>908.78800000000001</v>
      </c>
    </row>
    <row r="130" spans="2:11" ht="18.75" customHeight="1" x14ac:dyDescent="0.25">
      <c r="B130" s="42" t="s">
        <v>197</v>
      </c>
      <c r="C130" s="43">
        <v>15</v>
      </c>
      <c r="D130" s="49" t="s">
        <v>198</v>
      </c>
      <c r="E130" s="92">
        <v>404.06700000000001</v>
      </c>
      <c r="F130" s="46">
        <f>CEILING((Master!F154*1.06),0.5)</f>
        <v>4186.5</v>
      </c>
      <c r="G130" s="46">
        <f>F130*$G$5</f>
        <v>1549.0049999999999</v>
      </c>
      <c r="H130" s="47">
        <f>((G130-E130)/G130)</f>
        <v>0.7391441602835368</v>
      </c>
      <c r="I130" s="48">
        <f>(($E130/(1-I$9)))</f>
        <v>1010.1675</v>
      </c>
      <c r="J130" s="48">
        <f>(($E130/(1-$J$9)))</f>
        <v>1243.283076923077</v>
      </c>
      <c r="K130" s="48">
        <f>(($E130/(1-K$9)))</f>
        <v>1616.268</v>
      </c>
    </row>
    <row r="131" spans="2:11" ht="18.75" customHeight="1" x14ac:dyDescent="0.25">
      <c r="B131" s="393"/>
      <c r="C131" s="393"/>
      <c r="D131" s="393"/>
      <c r="E131" s="393"/>
      <c r="F131" s="393"/>
      <c r="G131" s="393"/>
      <c r="H131" s="77"/>
      <c r="I131" s="48"/>
      <c r="J131" s="48"/>
      <c r="K131" s="48"/>
    </row>
    <row r="132" spans="2:11" ht="18.75" customHeight="1" x14ac:dyDescent="0.25">
      <c r="B132" s="398" t="s">
        <v>199</v>
      </c>
      <c r="C132" s="398"/>
      <c r="D132" s="398"/>
      <c r="E132" s="398"/>
      <c r="F132" s="398"/>
      <c r="G132" s="398"/>
      <c r="H132" s="51"/>
      <c r="I132" s="48"/>
      <c r="J132" s="48"/>
      <c r="K132" s="48"/>
    </row>
    <row r="133" spans="2:11" ht="18.75" customHeight="1" x14ac:dyDescent="0.25">
      <c r="B133" s="42" t="s">
        <v>200</v>
      </c>
      <c r="C133" s="43">
        <v>1.2</v>
      </c>
      <c r="D133" s="52" t="s">
        <v>201</v>
      </c>
      <c r="E133" s="68">
        <v>65.25</v>
      </c>
      <c r="F133" s="46">
        <f>CEILING((Master!F157*1.06),0.5)</f>
        <v>482.5</v>
      </c>
      <c r="G133" s="46">
        <f>F133*$G$5</f>
        <v>178.52500000000001</v>
      </c>
      <c r="H133" s="47">
        <f>((G133-E133)/G133)</f>
        <v>0.63450497129253602</v>
      </c>
      <c r="I133" s="48">
        <f>(($E133/(1-I$9)))</f>
        <v>163.125</v>
      </c>
      <c r="J133" s="48">
        <f>(($E133/(1-$J$9)))</f>
        <v>200.7692307692308</v>
      </c>
      <c r="K133" s="48">
        <f>(($E133/(1-K$9)))</f>
        <v>261</v>
      </c>
    </row>
    <row r="134" spans="2:11" ht="18.75" customHeight="1" x14ac:dyDescent="0.25">
      <c r="B134" s="393"/>
      <c r="C134" s="393"/>
      <c r="D134" s="393"/>
      <c r="E134" s="393"/>
      <c r="F134" s="393"/>
      <c r="G134" s="393"/>
      <c r="H134" s="77"/>
      <c r="I134" s="48"/>
      <c r="J134" s="48"/>
      <c r="K134" s="48"/>
    </row>
    <row r="135" spans="2:11" ht="19.7" customHeight="1" x14ac:dyDescent="0.25">
      <c r="B135" s="392" t="s">
        <v>202</v>
      </c>
      <c r="C135" s="392"/>
      <c r="D135" s="392"/>
      <c r="E135" s="392"/>
      <c r="F135" s="392"/>
      <c r="G135" s="392"/>
      <c r="H135" s="91"/>
      <c r="I135" s="48"/>
      <c r="J135" s="48"/>
      <c r="K135" s="48"/>
    </row>
    <row r="136" spans="2:11" ht="18.75" customHeight="1" x14ac:dyDescent="0.25">
      <c r="B136" s="395" t="s">
        <v>203</v>
      </c>
      <c r="C136" s="395"/>
      <c r="D136" s="395"/>
      <c r="E136" s="395"/>
      <c r="F136" s="395"/>
      <c r="G136" s="395"/>
      <c r="H136" s="103"/>
      <c r="I136" s="48"/>
      <c r="J136" s="48"/>
      <c r="K136" s="48"/>
    </row>
    <row r="137" spans="2:11" ht="18.75" customHeight="1" x14ac:dyDescent="0.25">
      <c r="B137" s="396" t="s">
        <v>204</v>
      </c>
      <c r="C137" s="396"/>
      <c r="D137" s="396"/>
      <c r="E137" s="396"/>
      <c r="F137" s="396"/>
      <c r="G137" s="396"/>
      <c r="H137" s="78"/>
      <c r="I137" s="48"/>
      <c r="J137" s="48"/>
      <c r="K137" s="48"/>
    </row>
    <row r="138" spans="2:11" ht="18.75" customHeight="1" x14ac:dyDescent="0.25">
      <c r="B138" s="42" t="s">
        <v>205</v>
      </c>
      <c r="C138" s="43">
        <v>50</v>
      </c>
      <c r="D138" s="104" t="s">
        <v>206</v>
      </c>
      <c r="E138" s="105">
        <v>731.96</v>
      </c>
      <c r="F138" s="46">
        <v>5374.5</v>
      </c>
      <c r="G138" s="46">
        <f>F138*$G$5</f>
        <v>1988.5650000000001</v>
      </c>
      <c r="H138" s="47">
        <f>((G138-E138)/G138)</f>
        <v>0.63191547673825099</v>
      </c>
      <c r="I138" s="48">
        <f>(($E138/(1-I$9)))</f>
        <v>1829.9</v>
      </c>
      <c r="J138" s="48">
        <f>(($E138/(1-$J$9)))</f>
        <v>2252.1846153846159</v>
      </c>
      <c r="K138" s="48">
        <f>(($E138/(1-K$9)))</f>
        <v>2927.84</v>
      </c>
    </row>
    <row r="139" spans="2:11" ht="18.75" customHeight="1" x14ac:dyDescent="0.25">
      <c r="B139" s="42" t="s">
        <v>207</v>
      </c>
      <c r="C139" s="43">
        <v>60</v>
      </c>
      <c r="D139" s="106" t="s">
        <v>208</v>
      </c>
      <c r="E139" s="107">
        <v>917.25</v>
      </c>
      <c r="F139" s="46">
        <v>7471.5</v>
      </c>
      <c r="G139" s="46">
        <f>F139*$G$5</f>
        <v>2764.4549999999999</v>
      </c>
      <c r="H139" s="47">
        <f>((G139-E139)/G139)</f>
        <v>0.66819861419339432</v>
      </c>
      <c r="I139" s="48">
        <f>(($E139/(1-I$9)))</f>
        <v>2293.125</v>
      </c>
      <c r="J139" s="48">
        <f>(($E139/(1-$J$9)))</f>
        <v>2822.3076923076928</v>
      </c>
      <c r="K139" s="48">
        <f>(($E139/(1-K$9)))</f>
        <v>3669</v>
      </c>
    </row>
    <row r="140" spans="2:11" ht="18.75" customHeight="1" x14ac:dyDescent="0.25">
      <c r="B140" s="42" t="s">
        <v>209</v>
      </c>
      <c r="C140" s="43">
        <v>70</v>
      </c>
      <c r="D140" s="108" t="s">
        <v>210</v>
      </c>
      <c r="E140" s="109">
        <v>1127.5999999999999</v>
      </c>
      <c r="F140" s="46">
        <v>9143</v>
      </c>
      <c r="G140" s="46">
        <f>F140*$G$5</f>
        <v>3382.91</v>
      </c>
      <c r="H140" s="47">
        <f>((G140-E140)/G140)</f>
        <v>0.66667750546127447</v>
      </c>
      <c r="I140" s="48">
        <f>(($E140/(1-I$9)))</f>
        <v>2818.9999999999995</v>
      </c>
      <c r="J140" s="48">
        <f>(($E140/(1-$J$9)))</f>
        <v>3469.5384615384619</v>
      </c>
      <c r="K140" s="48">
        <f>(($E140/(1-K$9)))</f>
        <v>4510.3999999999996</v>
      </c>
    </row>
    <row r="141" spans="2:11" ht="18.75" customHeight="1" x14ac:dyDescent="0.25">
      <c r="B141" s="395" t="s">
        <v>211</v>
      </c>
      <c r="C141" s="395"/>
      <c r="D141" s="395"/>
      <c r="E141" s="395"/>
      <c r="F141" s="395"/>
      <c r="G141" s="395"/>
      <c r="H141" s="103"/>
      <c r="I141" s="48"/>
      <c r="J141" s="48"/>
      <c r="K141" s="48"/>
    </row>
    <row r="142" spans="2:11" ht="18.75" customHeight="1" x14ac:dyDescent="0.25">
      <c r="B142" s="396" t="s">
        <v>204</v>
      </c>
      <c r="C142" s="396"/>
      <c r="D142" s="396"/>
      <c r="E142" s="396"/>
      <c r="F142" s="396"/>
      <c r="G142" s="396"/>
      <c r="H142" s="78"/>
      <c r="I142" s="48"/>
      <c r="J142" s="48"/>
      <c r="K142" s="48"/>
    </row>
    <row r="143" spans="2:11" ht="18.75" customHeight="1" x14ac:dyDescent="0.25">
      <c r="B143" s="42" t="s">
        <v>212</v>
      </c>
      <c r="C143" s="43"/>
      <c r="D143" s="44" t="s">
        <v>213</v>
      </c>
      <c r="E143" s="110">
        <v>124.9</v>
      </c>
      <c r="F143" s="46">
        <f>CEILING((I143/$G$5),0.5)</f>
        <v>844</v>
      </c>
      <c r="G143" s="46">
        <f>F143*$G$5</f>
        <v>312.27999999999997</v>
      </c>
      <c r="H143" s="47">
        <f>((G143-E143)/G143)</f>
        <v>0.60003842705264498</v>
      </c>
      <c r="I143" s="48">
        <f>(($E143/(1-I$9)))</f>
        <v>312.25</v>
      </c>
      <c r="J143" s="48">
        <f>(($E143/(1-$J$9)))</f>
        <v>384.30769230769238</v>
      </c>
      <c r="K143" s="48">
        <f>(($E143/(1-K$9)))</f>
        <v>499.6</v>
      </c>
    </row>
    <row r="144" spans="2:11" ht="18.75" customHeight="1" x14ac:dyDescent="0.25">
      <c r="B144" s="42" t="s">
        <v>214</v>
      </c>
      <c r="C144" s="43"/>
      <c r="D144" s="44" t="s">
        <v>215</v>
      </c>
      <c r="E144" s="110">
        <v>234.8</v>
      </c>
      <c r="F144" s="46">
        <f>CEILING((I144/$G$5),0.5)</f>
        <v>1586.5</v>
      </c>
      <c r="G144" s="46">
        <f>F144*$G$5</f>
        <v>587.005</v>
      </c>
      <c r="H144" s="47">
        <f>((G144-E144)/G144)</f>
        <v>0.60000340712600397</v>
      </c>
      <c r="I144" s="48">
        <f>(($E144/(1-I$9)))</f>
        <v>587</v>
      </c>
      <c r="J144" s="48">
        <f>(($E144/(1-$J$9)))</f>
        <v>722.46153846153857</v>
      </c>
      <c r="K144" s="48">
        <f>(($E144/(1-K$9)))</f>
        <v>939.2</v>
      </c>
    </row>
    <row r="145" spans="2:11" ht="18.75" customHeight="1" x14ac:dyDescent="0.25">
      <c r="B145" s="42" t="s">
        <v>216</v>
      </c>
      <c r="C145" s="43"/>
      <c r="D145" s="44" t="s">
        <v>217</v>
      </c>
      <c r="E145" s="111">
        <v>334.85</v>
      </c>
      <c r="F145" s="46">
        <f>CEILING((I145/$G$5),0.5)</f>
        <v>2262.5</v>
      </c>
      <c r="G145" s="46">
        <f>F145*$G$5</f>
        <v>837.125</v>
      </c>
      <c r="H145" s="47">
        <f>((G145-E145)/G145)</f>
        <v>0.6</v>
      </c>
      <c r="I145" s="48">
        <f>(($E145/(1-I$9)))</f>
        <v>837.125</v>
      </c>
      <c r="J145" s="48">
        <f>(($E145/(1-$J$9)))</f>
        <v>1030.3076923076926</v>
      </c>
      <c r="K145" s="48">
        <f>(($E145/(1-K$9)))</f>
        <v>1339.4</v>
      </c>
    </row>
    <row r="146" spans="2:11" ht="18.75" customHeight="1" x14ac:dyDescent="0.25">
      <c r="B146" s="393"/>
      <c r="C146" s="393"/>
      <c r="D146" s="393"/>
      <c r="E146" s="393"/>
      <c r="F146" s="393"/>
      <c r="G146" s="393"/>
      <c r="H146" s="77"/>
      <c r="I146" s="48"/>
      <c r="J146" s="48"/>
      <c r="K146" s="48"/>
    </row>
    <row r="147" spans="2:11" ht="19.7" customHeight="1" x14ac:dyDescent="0.25">
      <c r="B147" s="392" t="s">
        <v>218</v>
      </c>
      <c r="C147" s="392"/>
      <c r="D147" s="392"/>
      <c r="E147" s="392"/>
      <c r="F147" s="392"/>
      <c r="G147" s="392"/>
      <c r="H147" s="91"/>
      <c r="I147" s="48"/>
      <c r="J147" s="48"/>
      <c r="K147" s="48"/>
    </row>
    <row r="148" spans="2:11" ht="18.75" customHeight="1" x14ac:dyDescent="0.25">
      <c r="B148" s="42" t="s">
        <v>219</v>
      </c>
      <c r="C148" s="43">
        <v>7</v>
      </c>
      <c r="D148" s="52" t="s">
        <v>220</v>
      </c>
      <c r="E148" s="45">
        <v>270.54300000000001</v>
      </c>
      <c r="F148" s="46">
        <f>CEILING((Master!F192*1.06),0.5)</f>
        <v>2091.5</v>
      </c>
      <c r="G148" s="46">
        <f t="shared" ref="G148:G159" si="15">F148*$G$5</f>
        <v>773.85500000000002</v>
      </c>
      <c r="H148" s="47">
        <f t="shared" ref="H148:H159" si="16">((G148-E148)/G148)</f>
        <v>0.65039574597308281</v>
      </c>
      <c r="I148" s="48">
        <f t="shared" ref="I148:I159" si="17">(($E148/(1-I$9)))</f>
        <v>676.35749999999996</v>
      </c>
      <c r="J148" s="48">
        <f t="shared" ref="J148:J159" si="18">(($E148/(1-$J$9)))</f>
        <v>832.44000000000017</v>
      </c>
      <c r="K148" s="48">
        <f t="shared" ref="K148:K159" si="19">(($E148/(1-K$9)))</f>
        <v>1082.172</v>
      </c>
    </row>
    <row r="149" spans="2:11" ht="17.25" customHeight="1" x14ac:dyDescent="0.25">
      <c r="B149" s="42" t="s">
        <v>221</v>
      </c>
      <c r="C149" s="43">
        <v>9</v>
      </c>
      <c r="D149" s="52" t="s">
        <v>222</v>
      </c>
      <c r="E149" s="45">
        <v>702.65773000000002</v>
      </c>
      <c r="F149" s="46">
        <f>CEILING((Master!F193*1.06),0.5)</f>
        <v>5163.5</v>
      </c>
      <c r="G149" s="46">
        <f t="shared" si="15"/>
        <v>1910.4949999999999</v>
      </c>
      <c r="H149" s="47">
        <f t="shared" si="16"/>
        <v>0.63221168859379373</v>
      </c>
      <c r="I149" s="48">
        <f t="shared" si="17"/>
        <v>1756.644325</v>
      </c>
      <c r="J149" s="48">
        <f t="shared" si="18"/>
        <v>2162.023784615385</v>
      </c>
      <c r="K149" s="48">
        <f t="shared" si="19"/>
        <v>2810.6309200000001</v>
      </c>
    </row>
    <row r="150" spans="2:11" ht="17.25" customHeight="1" x14ac:dyDescent="0.25">
      <c r="B150" s="42" t="s">
        <v>223</v>
      </c>
      <c r="C150" s="43">
        <v>0.1</v>
      </c>
      <c r="D150" s="52" t="s">
        <v>224</v>
      </c>
      <c r="E150" s="45">
        <v>37.204889999999999</v>
      </c>
      <c r="F150" s="46">
        <f>CEILING((J150/$G$5),0.5)</f>
        <v>309.5</v>
      </c>
      <c r="G150" s="46">
        <f t="shared" si="15"/>
        <v>114.515</v>
      </c>
      <c r="H150" s="47">
        <f t="shared" si="16"/>
        <v>0.67510902501855663</v>
      </c>
      <c r="I150" s="48">
        <f t="shared" si="17"/>
        <v>93.012224999999987</v>
      </c>
      <c r="J150" s="48">
        <f t="shared" si="18"/>
        <v>114.47658461538462</v>
      </c>
      <c r="K150" s="48">
        <f t="shared" si="19"/>
        <v>148.81956</v>
      </c>
    </row>
    <row r="151" spans="2:11" ht="18.75" customHeight="1" x14ac:dyDescent="0.25">
      <c r="B151" s="42" t="s">
        <v>225</v>
      </c>
      <c r="C151" s="43">
        <v>52</v>
      </c>
      <c r="D151" s="112" t="s">
        <v>226</v>
      </c>
      <c r="E151" s="45">
        <v>1470.2704200000001</v>
      </c>
      <c r="F151" s="46">
        <f>CEILING((Master!F194*1.06),0.5)</f>
        <v>11534</v>
      </c>
      <c r="G151" s="46">
        <f t="shared" si="15"/>
        <v>4267.58</v>
      </c>
      <c r="H151" s="47">
        <f t="shared" si="16"/>
        <v>0.65547911931352199</v>
      </c>
      <c r="I151" s="48">
        <f t="shared" si="17"/>
        <v>3675.67605</v>
      </c>
      <c r="J151" s="48">
        <f t="shared" si="18"/>
        <v>4523.9089846153856</v>
      </c>
      <c r="K151" s="48">
        <f t="shared" si="19"/>
        <v>5881.0816800000002</v>
      </c>
    </row>
    <row r="152" spans="2:11" ht="18.75" customHeight="1" x14ac:dyDescent="0.25">
      <c r="B152" s="42" t="s">
        <v>227</v>
      </c>
      <c r="C152" s="43">
        <v>105</v>
      </c>
      <c r="D152" s="113" t="s">
        <v>228</v>
      </c>
      <c r="E152" s="45">
        <v>1638.2704200000001</v>
      </c>
      <c r="F152" s="46">
        <f>CEILING((Master!F195*1.06),0.5)</f>
        <v>13148</v>
      </c>
      <c r="G152" s="46">
        <f t="shared" si="15"/>
        <v>4864.76</v>
      </c>
      <c r="H152" s="47">
        <f t="shared" si="16"/>
        <v>0.66323715455644272</v>
      </c>
      <c r="I152" s="48">
        <f t="shared" si="17"/>
        <v>4095.67605</v>
      </c>
      <c r="J152" s="48">
        <f t="shared" si="18"/>
        <v>5040.8320615384628</v>
      </c>
      <c r="K152" s="48">
        <f t="shared" si="19"/>
        <v>6553.0816800000002</v>
      </c>
    </row>
    <row r="153" spans="2:11" ht="18.75" customHeight="1" x14ac:dyDescent="0.25">
      <c r="B153" s="42" t="s">
        <v>229</v>
      </c>
      <c r="C153" s="43">
        <v>144</v>
      </c>
      <c r="D153" s="113" t="s">
        <v>230</v>
      </c>
      <c r="E153" s="45">
        <v>9356.4279200000001</v>
      </c>
      <c r="F153" s="46">
        <f>CEILING((I153/$G$5),0.5)</f>
        <v>63219.5</v>
      </c>
      <c r="G153" s="46">
        <f t="shared" si="15"/>
        <v>23391.215</v>
      </c>
      <c r="H153" s="47">
        <f t="shared" si="16"/>
        <v>0.60000248298346193</v>
      </c>
      <c r="I153" s="48">
        <f t="shared" si="17"/>
        <v>23391.069799999997</v>
      </c>
      <c r="J153" s="48">
        <f t="shared" si="18"/>
        <v>28789.00898461539</v>
      </c>
      <c r="K153" s="48">
        <f t="shared" si="19"/>
        <v>37425.71168</v>
      </c>
    </row>
    <row r="154" spans="2:11" ht="18.75" customHeight="1" x14ac:dyDescent="0.25">
      <c r="B154" s="42" t="s">
        <v>231</v>
      </c>
      <c r="C154" s="43">
        <v>189</v>
      </c>
      <c r="D154" s="113" t="s">
        <v>232</v>
      </c>
      <c r="E154" s="45">
        <v>2249.2704199999998</v>
      </c>
      <c r="F154" s="46">
        <f>CEILING((Master!F196*1.06),0.5)</f>
        <v>16067.5</v>
      </c>
      <c r="G154" s="46">
        <f t="shared" si="15"/>
        <v>5944.9750000000004</v>
      </c>
      <c r="H154" s="47">
        <f t="shared" si="16"/>
        <v>0.62165182864520041</v>
      </c>
      <c r="I154" s="48">
        <f t="shared" si="17"/>
        <v>5623.1760499999991</v>
      </c>
      <c r="J154" s="48">
        <f t="shared" si="18"/>
        <v>6920.8320615384619</v>
      </c>
      <c r="K154" s="48">
        <f t="shared" si="19"/>
        <v>8997.0816799999993</v>
      </c>
    </row>
    <row r="155" spans="2:11" ht="18.75" customHeight="1" x14ac:dyDescent="0.25">
      <c r="B155" s="42" t="s">
        <v>233</v>
      </c>
      <c r="C155" s="43">
        <v>249</v>
      </c>
      <c r="D155" s="113" t="s">
        <v>234</v>
      </c>
      <c r="E155" s="45">
        <v>2427.2704199999998</v>
      </c>
      <c r="F155" s="46">
        <f>CEILING((Master!F197*1.06),0.5)</f>
        <v>19201</v>
      </c>
      <c r="G155" s="46">
        <f t="shared" si="15"/>
        <v>7104.37</v>
      </c>
      <c r="H155" s="47">
        <f t="shared" si="16"/>
        <v>0.65834121533647605</v>
      </c>
      <c r="I155" s="48">
        <f t="shared" si="17"/>
        <v>6068.1760499999991</v>
      </c>
      <c r="J155" s="48">
        <f t="shared" si="18"/>
        <v>7468.5243692307695</v>
      </c>
      <c r="K155" s="48">
        <f t="shared" si="19"/>
        <v>9709.0816799999993</v>
      </c>
    </row>
    <row r="156" spans="2:11" ht="18.75" customHeight="1" x14ac:dyDescent="0.25">
      <c r="B156" s="42" t="s">
        <v>235</v>
      </c>
      <c r="C156" s="43">
        <v>353</v>
      </c>
      <c r="D156" s="113" t="s">
        <v>236</v>
      </c>
      <c r="E156" s="45">
        <v>2477.1737600000001</v>
      </c>
      <c r="F156" s="46">
        <f>CEILING((Master!F198*1.06),0.5)</f>
        <v>21797</v>
      </c>
      <c r="G156" s="46">
        <f t="shared" si="15"/>
        <v>8064.89</v>
      </c>
      <c r="H156" s="47">
        <f t="shared" si="16"/>
        <v>0.69284469348001021</v>
      </c>
      <c r="I156" s="48">
        <f t="shared" si="17"/>
        <v>6192.9344000000001</v>
      </c>
      <c r="J156" s="48">
        <f t="shared" si="18"/>
        <v>7622.0731076923093</v>
      </c>
      <c r="K156" s="48">
        <f t="shared" si="19"/>
        <v>9908.6950400000005</v>
      </c>
    </row>
    <row r="157" spans="2:11" ht="18.75" customHeight="1" x14ac:dyDescent="0.25">
      <c r="B157" s="42" t="s">
        <v>237</v>
      </c>
      <c r="C157" s="43">
        <v>640</v>
      </c>
      <c r="D157" s="113" t="s">
        <v>238</v>
      </c>
      <c r="E157" s="45">
        <v>2332.1737600000001</v>
      </c>
      <c r="F157" s="46">
        <f>CEILING((Master!F199*1.06),0.5)</f>
        <v>24025</v>
      </c>
      <c r="G157" s="46">
        <f t="shared" si="15"/>
        <v>8889.25</v>
      </c>
      <c r="H157" s="47">
        <f t="shared" si="16"/>
        <v>0.73764111032989288</v>
      </c>
      <c r="I157" s="48">
        <f t="shared" si="17"/>
        <v>5830.4344000000001</v>
      </c>
      <c r="J157" s="48">
        <f t="shared" si="18"/>
        <v>7175.9192615384627</v>
      </c>
      <c r="K157" s="48">
        <f t="shared" si="19"/>
        <v>9328.6950400000005</v>
      </c>
    </row>
    <row r="158" spans="2:11" ht="18.75" customHeight="1" x14ac:dyDescent="0.25">
      <c r="B158" s="42" t="s">
        <v>239</v>
      </c>
      <c r="C158" s="43">
        <v>1072</v>
      </c>
      <c r="D158" s="113" t="s">
        <v>240</v>
      </c>
      <c r="E158" s="45">
        <v>5046.1737599999997</v>
      </c>
      <c r="F158" s="46">
        <f>CEILING((Master!F200*1.06),0.5)</f>
        <v>32068.5</v>
      </c>
      <c r="G158" s="46">
        <f t="shared" si="15"/>
        <v>11865.344999999999</v>
      </c>
      <c r="H158" s="47">
        <f t="shared" si="16"/>
        <v>0.57471327129552496</v>
      </c>
      <c r="I158" s="48">
        <f t="shared" si="17"/>
        <v>12615.434399999998</v>
      </c>
      <c r="J158" s="48">
        <f t="shared" si="18"/>
        <v>15526.688492307694</v>
      </c>
      <c r="K158" s="48">
        <f t="shared" si="19"/>
        <v>20184.695039999999</v>
      </c>
    </row>
    <row r="159" spans="2:11" ht="18.75" customHeight="1" x14ac:dyDescent="0.25">
      <c r="B159" s="42" t="s">
        <v>241</v>
      </c>
      <c r="C159" s="43">
        <v>5.0999999999999996</v>
      </c>
      <c r="D159" s="44" t="s">
        <v>242</v>
      </c>
      <c r="E159" s="114">
        <v>44.58</v>
      </c>
      <c r="F159" s="46">
        <f>CEILING((Master!F201*1.06),0.5)</f>
        <v>597.5</v>
      </c>
      <c r="G159" s="46">
        <f t="shared" si="15"/>
        <v>221.07499999999999</v>
      </c>
      <c r="H159" s="47">
        <f t="shared" si="16"/>
        <v>0.79834897659165449</v>
      </c>
      <c r="I159" s="48">
        <f t="shared" si="17"/>
        <v>111.44999999999999</v>
      </c>
      <c r="J159" s="48">
        <f t="shared" si="18"/>
        <v>137.16923076923078</v>
      </c>
      <c r="K159" s="48">
        <f t="shared" si="19"/>
        <v>178.32</v>
      </c>
    </row>
    <row r="160" spans="2:11" ht="18.75" customHeight="1" x14ac:dyDescent="0.25">
      <c r="B160" s="397" t="s">
        <v>243</v>
      </c>
      <c r="C160" s="397"/>
      <c r="D160" s="397"/>
      <c r="E160" s="397"/>
      <c r="F160" s="397"/>
      <c r="G160" s="397"/>
      <c r="H160" s="115"/>
      <c r="I160" s="115"/>
      <c r="J160" s="115"/>
      <c r="K160" s="115"/>
    </row>
    <row r="161" spans="2:11" ht="18.75" customHeight="1" x14ac:dyDescent="0.25">
      <c r="B161" s="42" t="s">
        <v>244</v>
      </c>
      <c r="C161" s="43">
        <v>1.5</v>
      </c>
      <c r="D161" s="49" t="s">
        <v>245</v>
      </c>
      <c r="E161" s="116">
        <v>142.43</v>
      </c>
      <c r="F161" s="46">
        <f>CEILING((Master!F203*1.06),0.5)</f>
        <v>1874</v>
      </c>
      <c r="G161" s="46">
        <f>F161*$G$5</f>
        <v>693.38</v>
      </c>
      <c r="H161" s="47">
        <f>((G161-E161)/G161)</f>
        <v>0.79458594133087201</v>
      </c>
      <c r="I161" s="48">
        <f>(($E161/(1-I$9)))</f>
        <v>356.07499999999999</v>
      </c>
      <c r="J161" s="48">
        <f>(($E161/(1-$J$9)))</f>
        <v>438.2461538461539</v>
      </c>
      <c r="K161" s="48">
        <f>(($E161/(1-K$9)))</f>
        <v>569.72</v>
      </c>
    </row>
    <row r="162" spans="2:11" ht="18.75" customHeight="1" x14ac:dyDescent="0.25">
      <c r="B162" s="42" t="s">
        <v>246</v>
      </c>
      <c r="C162" s="43">
        <v>0.4</v>
      </c>
      <c r="D162" s="49" t="s">
        <v>247</v>
      </c>
      <c r="E162" s="92">
        <v>83</v>
      </c>
      <c r="F162" s="46">
        <f>CEILING((Master!F204*1.06),0.5)</f>
        <v>870</v>
      </c>
      <c r="G162" s="46">
        <f>F162*$G$5</f>
        <v>321.89999999999998</v>
      </c>
      <c r="H162" s="47">
        <f>((G162-E162)/G162)</f>
        <v>0.74215594905250071</v>
      </c>
      <c r="I162" s="48">
        <f>(($E162/(1-I$9)))</f>
        <v>207.5</v>
      </c>
      <c r="J162" s="48">
        <f>(($E162/(1-$J$9)))</f>
        <v>255.38461538461542</v>
      </c>
      <c r="K162" s="48">
        <f>(($E162/(1-K$9)))</f>
        <v>332</v>
      </c>
    </row>
    <row r="163" spans="2:11" ht="18.75" customHeight="1" x14ac:dyDescent="0.25">
      <c r="B163" s="393"/>
      <c r="C163" s="393"/>
      <c r="D163" s="393"/>
      <c r="E163" s="393"/>
      <c r="F163" s="393"/>
      <c r="G163" s="393"/>
      <c r="H163" s="77"/>
      <c r="I163" s="117"/>
      <c r="J163" s="117"/>
      <c r="K163" s="117"/>
    </row>
    <row r="164" spans="2:11" ht="19.7" customHeight="1" x14ac:dyDescent="0.25">
      <c r="B164" s="392" t="s">
        <v>248</v>
      </c>
      <c r="C164" s="392"/>
      <c r="D164" s="392"/>
      <c r="E164" s="392"/>
      <c r="F164" s="392"/>
      <c r="G164" s="392"/>
      <c r="H164" s="91"/>
      <c r="I164" s="91"/>
      <c r="J164" s="91"/>
      <c r="K164" s="91"/>
    </row>
    <row r="165" spans="2:11" ht="18.75" customHeight="1" x14ac:dyDescent="0.25">
      <c r="B165" s="42" t="s">
        <v>249</v>
      </c>
      <c r="C165" s="43">
        <v>0.1</v>
      </c>
      <c r="D165" s="118" t="s">
        <v>250</v>
      </c>
      <c r="E165" s="68">
        <v>2.72</v>
      </c>
      <c r="F165" s="46">
        <f>CEILING((Master!F207*1.06),0.5)</f>
        <v>101.5</v>
      </c>
      <c r="G165" s="46">
        <f t="shared" ref="G165:G172" si="20">F165*$G$5</f>
        <v>37.555</v>
      </c>
      <c r="H165" s="47">
        <f t="shared" ref="H165:H172" si="21">((G165-E165)/G165)</f>
        <v>0.92757289309013446</v>
      </c>
      <c r="I165" s="48">
        <f t="shared" ref="I165:I172" si="22">(($E165/(1-I$9)))</f>
        <v>6.8</v>
      </c>
      <c r="J165" s="48">
        <f t="shared" ref="J165:J172" si="23">(($E165/(1-$J$9)))</f>
        <v>8.3692307692307715</v>
      </c>
      <c r="K165" s="48">
        <f t="shared" ref="K165:K172" si="24">(($E165/(1-K$9)))</f>
        <v>10.88</v>
      </c>
    </row>
    <row r="166" spans="2:11" ht="18.75" customHeight="1" x14ac:dyDescent="0.25">
      <c r="B166" s="42" t="s">
        <v>251</v>
      </c>
      <c r="C166" s="43">
        <v>0.1</v>
      </c>
      <c r="D166" s="85" t="s">
        <v>252</v>
      </c>
      <c r="E166" s="68">
        <v>4.42</v>
      </c>
      <c r="F166" s="46">
        <f>CEILING((Master!F208*1.06),0.5)</f>
        <v>101.5</v>
      </c>
      <c r="G166" s="46">
        <f t="shared" si="20"/>
        <v>37.555</v>
      </c>
      <c r="H166" s="47">
        <f t="shared" si="21"/>
        <v>0.88230595127146849</v>
      </c>
      <c r="I166" s="48">
        <f t="shared" si="22"/>
        <v>11.049999999999999</v>
      </c>
      <c r="J166" s="48">
        <f t="shared" si="23"/>
        <v>13.600000000000001</v>
      </c>
      <c r="K166" s="48">
        <f t="shared" si="24"/>
        <v>17.68</v>
      </c>
    </row>
    <row r="167" spans="2:11" ht="18.75" customHeight="1" x14ac:dyDescent="0.25">
      <c r="B167" s="42" t="s">
        <v>253</v>
      </c>
      <c r="C167" s="43">
        <v>0.1</v>
      </c>
      <c r="D167" s="85" t="s">
        <v>254</v>
      </c>
      <c r="E167" s="68">
        <v>12.6</v>
      </c>
      <c r="F167" s="46">
        <f>CEILING((Master!F209*1.06),0.5)</f>
        <v>101.5</v>
      </c>
      <c r="G167" s="46">
        <f t="shared" si="20"/>
        <v>37.555</v>
      </c>
      <c r="H167" s="47">
        <f t="shared" si="21"/>
        <v>0.66449207828518164</v>
      </c>
      <c r="I167" s="48">
        <f t="shared" si="22"/>
        <v>31.499999999999996</v>
      </c>
      <c r="J167" s="48">
        <f t="shared" si="23"/>
        <v>38.769230769230774</v>
      </c>
      <c r="K167" s="48">
        <f t="shared" si="24"/>
        <v>50.4</v>
      </c>
    </row>
    <row r="168" spans="2:11" ht="18.75" customHeight="1" x14ac:dyDescent="0.25">
      <c r="B168" s="42" t="s">
        <v>255</v>
      </c>
      <c r="C168" s="43">
        <v>0.1</v>
      </c>
      <c r="D168" s="85" t="s">
        <v>256</v>
      </c>
      <c r="E168" s="119">
        <v>12.6</v>
      </c>
      <c r="F168" s="46">
        <f>CEILING((Master!F210*1.06),0.5)</f>
        <v>55</v>
      </c>
      <c r="G168" s="46">
        <f t="shared" si="20"/>
        <v>20.350000000000001</v>
      </c>
      <c r="H168" s="47">
        <f t="shared" si="21"/>
        <v>0.38083538083538088</v>
      </c>
      <c r="I168" s="48">
        <f t="shared" si="22"/>
        <v>31.499999999999996</v>
      </c>
      <c r="J168" s="48">
        <f t="shared" si="23"/>
        <v>38.769230769230774</v>
      </c>
      <c r="K168" s="48">
        <f t="shared" si="24"/>
        <v>50.4</v>
      </c>
    </row>
    <row r="169" spans="2:11" ht="18.75" customHeight="1" x14ac:dyDescent="0.25">
      <c r="B169" s="42" t="s">
        <v>257</v>
      </c>
      <c r="C169" s="43">
        <v>0.1</v>
      </c>
      <c r="D169" s="118" t="s">
        <v>258</v>
      </c>
      <c r="E169" s="119">
        <v>5.28</v>
      </c>
      <c r="F169" s="46">
        <f>CEILING((Master!F211*1.06),0.5)</f>
        <v>55</v>
      </c>
      <c r="G169" s="46">
        <f t="shared" si="20"/>
        <v>20.350000000000001</v>
      </c>
      <c r="H169" s="47">
        <f t="shared" si="21"/>
        <v>0.74054054054054053</v>
      </c>
      <c r="I169" s="48">
        <f t="shared" si="22"/>
        <v>13.2</v>
      </c>
      <c r="J169" s="48">
        <f t="shared" si="23"/>
        <v>16.246153846153849</v>
      </c>
      <c r="K169" s="48">
        <f t="shared" si="24"/>
        <v>21.12</v>
      </c>
    </row>
    <row r="170" spans="2:11" ht="18.75" customHeight="1" x14ac:dyDescent="0.25">
      <c r="B170" s="42" t="s">
        <v>259</v>
      </c>
      <c r="C170" s="43">
        <v>0.1</v>
      </c>
      <c r="D170" s="120" t="s">
        <v>260</v>
      </c>
      <c r="E170" s="119">
        <v>21.8</v>
      </c>
      <c r="F170" s="46">
        <f>CEILING((I170/$G$5),0.5)</f>
        <v>147.5</v>
      </c>
      <c r="G170" s="46">
        <f t="shared" si="20"/>
        <v>54.575000000000003</v>
      </c>
      <c r="H170" s="47">
        <f t="shared" si="21"/>
        <v>0.60054970224461757</v>
      </c>
      <c r="I170" s="48">
        <f t="shared" si="22"/>
        <v>54.5</v>
      </c>
      <c r="J170" s="48">
        <f t="shared" si="23"/>
        <v>67.076923076923094</v>
      </c>
      <c r="K170" s="48">
        <f t="shared" si="24"/>
        <v>87.2</v>
      </c>
    </row>
    <row r="171" spans="2:11" ht="18.75" customHeight="1" x14ac:dyDescent="0.25">
      <c r="B171" s="42" t="s">
        <v>261</v>
      </c>
      <c r="C171" s="43">
        <v>0.1</v>
      </c>
      <c r="D171" s="85" t="s">
        <v>262</v>
      </c>
      <c r="E171" s="119">
        <v>12.6</v>
      </c>
      <c r="F171" s="46">
        <f>CEILING((Master!F213*1.06),0.5)</f>
        <v>55</v>
      </c>
      <c r="G171" s="46">
        <f t="shared" si="20"/>
        <v>20.350000000000001</v>
      </c>
      <c r="H171" s="47">
        <f t="shared" si="21"/>
        <v>0.38083538083538088</v>
      </c>
      <c r="I171" s="48">
        <f t="shared" si="22"/>
        <v>31.499999999999996</v>
      </c>
      <c r="J171" s="48">
        <f t="shared" si="23"/>
        <v>38.769230769230774</v>
      </c>
      <c r="K171" s="48">
        <f t="shared" si="24"/>
        <v>50.4</v>
      </c>
    </row>
    <row r="172" spans="2:11" ht="18.75" customHeight="1" x14ac:dyDescent="0.25">
      <c r="B172" s="42" t="s">
        <v>263</v>
      </c>
      <c r="C172" s="43">
        <v>0.1</v>
      </c>
      <c r="D172" s="120" t="s">
        <v>264</v>
      </c>
      <c r="E172" s="92">
        <v>12.6</v>
      </c>
      <c r="F172" s="46">
        <f>CEILING((Master!F214*1.06),0.5)</f>
        <v>55</v>
      </c>
      <c r="G172" s="46">
        <f t="shared" si="20"/>
        <v>20.350000000000001</v>
      </c>
      <c r="H172" s="47">
        <f t="shared" si="21"/>
        <v>0.38083538083538088</v>
      </c>
      <c r="I172" s="48">
        <f t="shared" si="22"/>
        <v>31.499999999999996</v>
      </c>
      <c r="J172" s="48">
        <f t="shared" si="23"/>
        <v>38.769230769230774</v>
      </c>
      <c r="K172" s="48">
        <f t="shared" si="24"/>
        <v>50.4</v>
      </c>
    </row>
    <row r="173" spans="2:11" ht="18.75" customHeight="1" x14ac:dyDescent="0.25">
      <c r="B173" s="393"/>
      <c r="C173" s="393"/>
      <c r="D173" s="393"/>
      <c r="E173" s="393"/>
      <c r="F173" s="393"/>
      <c r="G173" s="393"/>
      <c r="H173" s="77"/>
      <c r="I173" s="117"/>
      <c r="J173" s="117"/>
      <c r="K173" s="117"/>
    </row>
    <row r="174" spans="2:11" ht="19.7" customHeight="1" x14ac:dyDescent="0.25">
      <c r="B174" s="392" t="s">
        <v>265</v>
      </c>
      <c r="C174" s="392"/>
      <c r="D174" s="392"/>
      <c r="E174" s="392"/>
      <c r="F174" s="392"/>
      <c r="G174" s="392"/>
      <c r="H174" s="91"/>
      <c r="I174" s="91"/>
      <c r="J174" s="91"/>
      <c r="K174" s="91"/>
    </row>
    <row r="175" spans="2:11" ht="18.75" customHeight="1" x14ac:dyDescent="0.25">
      <c r="B175" s="42" t="s">
        <v>266</v>
      </c>
      <c r="C175" s="43">
        <v>0.5</v>
      </c>
      <c r="D175" s="121" t="s">
        <v>267</v>
      </c>
      <c r="E175" s="122">
        <v>0.69499999999999995</v>
      </c>
      <c r="F175" s="46">
        <f>CEILING((Master!F217*1.06),0.5)</f>
        <v>32</v>
      </c>
      <c r="G175" s="46">
        <f t="shared" ref="G175:G195" si="25">F175*$G$5</f>
        <v>11.84</v>
      </c>
      <c r="H175" s="47">
        <f t="shared" ref="H175:H195" si="26">((G175-E175)/G175)</f>
        <v>0.94130067567567566</v>
      </c>
      <c r="I175" s="48">
        <f t="shared" ref="I175:I195" si="27">(($E175/(1-I$9)))</f>
        <v>1.7374999999999998</v>
      </c>
      <c r="J175" s="48">
        <f t="shared" ref="J175:J195" si="28">(($E175/(1-$J$9)))</f>
        <v>2.1384615384615384</v>
      </c>
      <c r="K175" s="48">
        <f t="shared" ref="K175:K195" si="29">(($E175/(1-K$9)))</f>
        <v>2.78</v>
      </c>
    </row>
    <row r="176" spans="2:11" ht="18.75" customHeight="1" x14ac:dyDescent="0.25">
      <c r="B176" s="42" t="s">
        <v>268</v>
      </c>
      <c r="C176" s="43">
        <v>0.1</v>
      </c>
      <c r="D176" s="123" t="s">
        <v>269</v>
      </c>
      <c r="E176" s="122">
        <v>0.70750000000000002</v>
      </c>
      <c r="F176" s="46">
        <f>CEILING((Master!F218*1.06),0.5)</f>
        <v>32</v>
      </c>
      <c r="G176" s="46">
        <f t="shared" si="25"/>
        <v>11.84</v>
      </c>
      <c r="H176" s="47">
        <f t="shared" si="26"/>
        <v>0.94024493243243246</v>
      </c>
      <c r="I176" s="48">
        <f t="shared" si="27"/>
        <v>1.76875</v>
      </c>
      <c r="J176" s="48">
        <f t="shared" si="28"/>
        <v>2.1769230769230772</v>
      </c>
      <c r="K176" s="48">
        <f t="shared" si="29"/>
        <v>2.83</v>
      </c>
    </row>
    <row r="177" spans="2:11" ht="18.75" customHeight="1" x14ac:dyDescent="0.25">
      <c r="B177" s="42" t="s">
        <v>270</v>
      </c>
      <c r="C177" s="43">
        <v>0.5</v>
      </c>
      <c r="D177" s="85" t="s">
        <v>271</v>
      </c>
      <c r="E177" s="68">
        <v>0.8</v>
      </c>
      <c r="F177" s="46">
        <f>CEILING((Master!F219*1.06),0.5)</f>
        <v>32</v>
      </c>
      <c r="G177" s="46">
        <f t="shared" si="25"/>
        <v>11.84</v>
      </c>
      <c r="H177" s="47">
        <f t="shared" si="26"/>
        <v>0.93243243243243235</v>
      </c>
      <c r="I177" s="48">
        <f t="shared" si="27"/>
        <v>2</v>
      </c>
      <c r="J177" s="48">
        <f t="shared" si="28"/>
        <v>2.4615384615384621</v>
      </c>
      <c r="K177" s="48">
        <f t="shared" si="29"/>
        <v>3.2</v>
      </c>
    </row>
    <row r="178" spans="2:11" ht="18.75" customHeight="1" x14ac:dyDescent="0.25">
      <c r="B178" s="42" t="s">
        <v>272</v>
      </c>
      <c r="C178" s="43">
        <v>1</v>
      </c>
      <c r="D178" s="85" t="s">
        <v>273</v>
      </c>
      <c r="E178" s="68">
        <v>8.1505299999999998</v>
      </c>
      <c r="F178" s="46">
        <f>CEILING((Master!F220*1.06),0.5)</f>
        <v>184</v>
      </c>
      <c r="G178" s="46">
        <f t="shared" si="25"/>
        <v>68.08</v>
      </c>
      <c r="H178" s="47">
        <f t="shared" si="26"/>
        <v>0.8802801116333725</v>
      </c>
      <c r="I178" s="48">
        <f t="shared" si="27"/>
        <v>20.376324999999998</v>
      </c>
      <c r="J178" s="48">
        <f t="shared" si="28"/>
        <v>25.078553846153849</v>
      </c>
      <c r="K178" s="48">
        <f t="shared" si="29"/>
        <v>32.602119999999999</v>
      </c>
    </row>
    <row r="179" spans="2:11" ht="18.75" customHeight="1" x14ac:dyDescent="0.25">
      <c r="B179" s="42" t="s">
        <v>274</v>
      </c>
      <c r="C179" s="43">
        <v>1</v>
      </c>
      <c r="D179" s="85" t="s">
        <v>275</v>
      </c>
      <c r="E179" s="68">
        <v>28.98</v>
      </c>
      <c r="F179" s="46">
        <f>CEILING((Master!F221*1.06),0.5)</f>
        <v>526</v>
      </c>
      <c r="G179" s="46">
        <f t="shared" si="25"/>
        <v>194.62</v>
      </c>
      <c r="H179" s="47">
        <f t="shared" si="26"/>
        <v>0.85109444044805271</v>
      </c>
      <c r="I179" s="48">
        <f t="shared" si="27"/>
        <v>72.45</v>
      </c>
      <c r="J179" s="48">
        <f t="shared" si="28"/>
        <v>89.169230769230779</v>
      </c>
      <c r="K179" s="48">
        <f t="shared" si="29"/>
        <v>115.92</v>
      </c>
    </row>
    <row r="180" spans="2:11" ht="18.75" customHeight="1" x14ac:dyDescent="0.25">
      <c r="B180" s="42" t="s">
        <v>276</v>
      </c>
      <c r="C180" s="43">
        <v>1</v>
      </c>
      <c r="D180" s="85" t="s">
        <v>277</v>
      </c>
      <c r="E180" s="68">
        <v>25.795000000000002</v>
      </c>
      <c r="F180" s="46">
        <f>CEILING((Master!F222*1.06),0.5)</f>
        <v>483</v>
      </c>
      <c r="G180" s="46">
        <f t="shared" si="25"/>
        <v>178.71</v>
      </c>
      <c r="H180" s="47">
        <f t="shared" si="26"/>
        <v>0.85566000783392093</v>
      </c>
      <c r="I180" s="48">
        <f t="shared" si="27"/>
        <v>64.487499999999997</v>
      </c>
      <c r="J180" s="48">
        <f t="shared" si="28"/>
        <v>79.369230769230782</v>
      </c>
      <c r="K180" s="48">
        <f t="shared" si="29"/>
        <v>103.18</v>
      </c>
    </row>
    <row r="181" spans="2:11" ht="18.75" customHeight="1" x14ac:dyDescent="0.25">
      <c r="B181" s="42" t="s">
        <v>278</v>
      </c>
      <c r="C181" s="43">
        <v>1</v>
      </c>
      <c r="D181" s="85" t="s">
        <v>279</v>
      </c>
      <c r="E181" s="68">
        <v>13.870799999999999</v>
      </c>
      <c r="F181" s="46">
        <f>CEILING((Master!F223*1.06),0.5)</f>
        <v>316</v>
      </c>
      <c r="G181" s="46">
        <f t="shared" si="25"/>
        <v>116.92</v>
      </c>
      <c r="H181" s="47">
        <f t="shared" si="26"/>
        <v>0.88136503592199789</v>
      </c>
      <c r="I181" s="48">
        <f t="shared" si="27"/>
        <v>34.676999999999992</v>
      </c>
      <c r="J181" s="48">
        <f t="shared" si="28"/>
        <v>42.67938461538462</v>
      </c>
      <c r="K181" s="48">
        <f t="shared" si="29"/>
        <v>55.483199999999997</v>
      </c>
    </row>
    <row r="182" spans="2:11" ht="18.75" customHeight="1" x14ac:dyDescent="0.25">
      <c r="B182" s="42" t="s">
        <v>280</v>
      </c>
      <c r="C182" s="43">
        <v>1</v>
      </c>
      <c r="D182" s="85" t="s">
        <v>281</v>
      </c>
      <c r="E182" s="68">
        <v>5.1223999999999998</v>
      </c>
      <c r="F182" s="46">
        <f>CEILING((Master!F224*1.06),0.5)</f>
        <v>107.5</v>
      </c>
      <c r="G182" s="46">
        <f t="shared" si="25"/>
        <v>39.774999999999999</v>
      </c>
      <c r="H182" s="47">
        <f t="shared" si="26"/>
        <v>0.87121558768070395</v>
      </c>
      <c r="I182" s="48">
        <f t="shared" si="27"/>
        <v>12.805999999999999</v>
      </c>
      <c r="J182" s="48">
        <f t="shared" si="28"/>
        <v>15.761230769230771</v>
      </c>
      <c r="K182" s="48">
        <f t="shared" si="29"/>
        <v>20.489599999999999</v>
      </c>
    </row>
    <row r="183" spans="2:11" ht="18.75" customHeight="1" x14ac:dyDescent="0.25">
      <c r="B183" s="42" t="s">
        <v>282</v>
      </c>
      <c r="C183" s="43">
        <v>1</v>
      </c>
      <c r="D183" s="85" t="s">
        <v>283</v>
      </c>
      <c r="E183" s="68">
        <v>7.43</v>
      </c>
      <c r="F183" s="46">
        <f>CEILING((Master!F225*1.06),0.5)</f>
        <v>160</v>
      </c>
      <c r="G183" s="46">
        <f t="shared" si="25"/>
        <v>59.2</v>
      </c>
      <c r="H183" s="47">
        <f t="shared" si="26"/>
        <v>0.87449324324324329</v>
      </c>
      <c r="I183" s="48">
        <f t="shared" si="27"/>
        <v>18.574999999999999</v>
      </c>
      <c r="J183" s="48">
        <f t="shared" si="28"/>
        <v>22.861538461538462</v>
      </c>
      <c r="K183" s="48">
        <f t="shared" si="29"/>
        <v>29.72</v>
      </c>
    </row>
    <row r="184" spans="2:11" ht="18.75" customHeight="1" x14ac:dyDescent="0.25">
      <c r="B184" s="42" t="s">
        <v>284</v>
      </c>
      <c r="C184" s="43">
        <v>1</v>
      </c>
      <c r="D184" s="85" t="s">
        <v>285</v>
      </c>
      <c r="E184" s="68">
        <v>4.6900000000000004</v>
      </c>
      <c r="F184" s="46">
        <f>CEILING((Master!F226*1.06),0.5)</f>
        <v>88</v>
      </c>
      <c r="G184" s="46">
        <f t="shared" si="25"/>
        <v>32.56</v>
      </c>
      <c r="H184" s="47">
        <f t="shared" si="26"/>
        <v>0.85595823095823098</v>
      </c>
      <c r="I184" s="48">
        <f t="shared" si="27"/>
        <v>11.725</v>
      </c>
      <c r="J184" s="48">
        <f t="shared" si="28"/>
        <v>14.430769230769235</v>
      </c>
      <c r="K184" s="48">
        <f t="shared" si="29"/>
        <v>18.760000000000002</v>
      </c>
    </row>
    <row r="185" spans="2:11" ht="18.75" customHeight="1" x14ac:dyDescent="0.25">
      <c r="B185" s="42" t="s">
        <v>286</v>
      </c>
      <c r="C185" s="43">
        <v>1</v>
      </c>
      <c r="D185" s="85" t="s">
        <v>287</v>
      </c>
      <c r="E185" s="68">
        <v>17.98</v>
      </c>
      <c r="F185" s="46">
        <f>CEILING((Master!F227*1.06),0.5)</f>
        <v>420.5</v>
      </c>
      <c r="G185" s="46">
        <f t="shared" si="25"/>
        <v>155.58500000000001</v>
      </c>
      <c r="H185" s="47">
        <f t="shared" si="26"/>
        <v>0.88443616029822936</v>
      </c>
      <c r="I185" s="48">
        <f t="shared" si="27"/>
        <v>44.949999999999996</v>
      </c>
      <c r="J185" s="48">
        <f t="shared" si="28"/>
        <v>55.323076923076933</v>
      </c>
      <c r="K185" s="48">
        <f t="shared" si="29"/>
        <v>71.92</v>
      </c>
    </row>
    <row r="186" spans="2:11" ht="18.75" customHeight="1" x14ac:dyDescent="0.25">
      <c r="B186" s="42" t="s">
        <v>288</v>
      </c>
      <c r="C186" s="43">
        <v>0.1</v>
      </c>
      <c r="D186" s="85" t="s">
        <v>289</v>
      </c>
      <c r="E186" s="68">
        <v>1.1100000000000001</v>
      </c>
      <c r="F186" s="46">
        <f>CEILING((Master!F228*1.06),0.5)</f>
        <v>20</v>
      </c>
      <c r="G186" s="46">
        <f t="shared" si="25"/>
        <v>7.4</v>
      </c>
      <c r="H186" s="47">
        <f t="shared" si="26"/>
        <v>0.85</v>
      </c>
      <c r="I186" s="48">
        <f t="shared" si="27"/>
        <v>2.7749999999999999</v>
      </c>
      <c r="J186" s="48">
        <f t="shared" si="28"/>
        <v>3.4153846153846161</v>
      </c>
      <c r="K186" s="48">
        <f t="shared" si="29"/>
        <v>4.4400000000000004</v>
      </c>
    </row>
    <row r="187" spans="2:11" ht="18.75" customHeight="1" x14ac:dyDescent="0.25">
      <c r="B187" s="42" t="s">
        <v>290</v>
      </c>
      <c r="C187" s="43">
        <v>0.1</v>
      </c>
      <c r="D187" s="85" t="s">
        <v>291</v>
      </c>
      <c r="E187" s="68">
        <v>0.58499999999999996</v>
      </c>
      <c r="F187" s="46">
        <f>CEILING((Master!F229*1.06),0.5)</f>
        <v>10.5</v>
      </c>
      <c r="G187" s="46">
        <f t="shared" si="25"/>
        <v>3.8849999999999998</v>
      </c>
      <c r="H187" s="47">
        <f t="shared" si="26"/>
        <v>0.84942084942084939</v>
      </c>
      <c r="I187" s="48">
        <f t="shared" si="27"/>
        <v>1.4624999999999999</v>
      </c>
      <c r="J187" s="48">
        <f t="shared" si="28"/>
        <v>1.8</v>
      </c>
      <c r="K187" s="48">
        <f t="shared" si="29"/>
        <v>2.34</v>
      </c>
    </row>
    <row r="188" spans="2:11" ht="18.75" customHeight="1" x14ac:dyDescent="0.25">
      <c r="B188" s="42" t="s">
        <v>292</v>
      </c>
      <c r="C188" s="43">
        <v>5</v>
      </c>
      <c r="D188" s="85" t="s">
        <v>293</v>
      </c>
      <c r="E188" s="68">
        <v>402.99</v>
      </c>
      <c r="F188" s="46">
        <f>CEILING((Master!F230*1.06),0.5)</f>
        <v>5407.5</v>
      </c>
      <c r="G188" s="46">
        <f t="shared" si="25"/>
        <v>2000.7749999999999</v>
      </c>
      <c r="H188" s="47">
        <f t="shared" si="26"/>
        <v>0.79858304906848598</v>
      </c>
      <c r="I188" s="48">
        <f t="shared" si="27"/>
        <v>1007.475</v>
      </c>
      <c r="J188" s="48">
        <f t="shared" si="28"/>
        <v>1239.969230769231</v>
      </c>
      <c r="K188" s="48">
        <f t="shared" si="29"/>
        <v>1611.96</v>
      </c>
    </row>
    <row r="189" spans="2:11" ht="18.75" customHeight="1" x14ac:dyDescent="0.25">
      <c r="B189" s="42" t="s">
        <v>294</v>
      </c>
      <c r="C189" s="43">
        <v>1</v>
      </c>
      <c r="D189" s="85" t="s">
        <v>295</v>
      </c>
      <c r="E189" s="68">
        <v>67.183499999999995</v>
      </c>
      <c r="F189" s="46">
        <f>CEILING((Master!F231*1.06),0.5)</f>
        <v>252.5</v>
      </c>
      <c r="G189" s="46">
        <f t="shared" si="25"/>
        <v>93.424999999999997</v>
      </c>
      <c r="H189" s="47">
        <f t="shared" si="26"/>
        <v>0.2808830612791009</v>
      </c>
      <c r="I189" s="48">
        <f t="shared" si="27"/>
        <v>167.95874999999998</v>
      </c>
      <c r="J189" s="48">
        <f t="shared" si="28"/>
        <v>206.71846153846155</v>
      </c>
      <c r="K189" s="48">
        <f t="shared" si="29"/>
        <v>268.73399999999998</v>
      </c>
    </row>
    <row r="190" spans="2:11" ht="18.75" customHeight="1" x14ac:dyDescent="0.25">
      <c r="B190" s="42" t="s">
        <v>296</v>
      </c>
      <c r="C190" s="43">
        <v>0.1</v>
      </c>
      <c r="D190" s="85" t="s">
        <v>297</v>
      </c>
      <c r="E190" s="68">
        <v>4.75</v>
      </c>
      <c r="F190" s="46">
        <f>CEILING((Master!F232*1.06),0.5)</f>
        <v>25.5</v>
      </c>
      <c r="G190" s="46">
        <f t="shared" si="25"/>
        <v>9.4350000000000005</v>
      </c>
      <c r="H190" s="47">
        <f t="shared" si="26"/>
        <v>0.49655537890832013</v>
      </c>
      <c r="I190" s="48">
        <f t="shared" si="27"/>
        <v>11.875</v>
      </c>
      <c r="J190" s="48">
        <f t="shared" si="28"/>
        <v>14.615384615384617</v>
      </c>
      <c r="K190" s="48">
        <f t="shared" si="29"/>
        <v>19</v>
      </c>
    </row>
    <row r="191" spans="2:11" ht="18.75" customHeight="1" x14ac:dyDescent="0.25">
      <c r="B191" s="42" t="s">
        <v>298</v>
      </c>
      <c r="C191" s="43">
        <v>1</v>
      </c>
      <c r="D191" s="85" t="s">
        <v>299</v>
      </c>
      <c r="E191" s="68">
        <v>76.211699999999993</v>
      </c>
      <c r="F191" s="46">
        <f>CEILING((Master!F233*1.06),0.5)</f>
        <v>732</v>
      </c>
      <c r="G191" s="46">
        <f t="shared" si="25"/>
        <v>270.83999999999997</v>
      </c>
      <c r="H191" s="47">
        <f t="shared" si="26"/>
        <v>0.71860988037217544</v>
      </c>
      <c r="I191" s="48">
        <f t="shared" si="27"/>
        <v>190.52924999999996</v>
      </c>
      <c r="J191" s="48">
        <f t="shared" si="28"/>
        <v>234.49753846153848</v>
      </c>
      <c r="K191" s="48">
        <f t="shared" si="29"/>
        <v>304.84679999999997</v>
      </c>
    </row>
    <row r="192" spans="2:11" ht="18.75" customHeight="1" x14ac:dyDescent="0.25">
      <c r="B192" s="42" t="s">
        <v>300</v>
      </c>
      <c r="C192" s="43">
        <v>1.5</v>
      </c>
      <c r="D192" s="85" t="s">
        <v>301</v>
      </c>
      <c r="E192" s="68">
        <v>82.517499999999998</v>
      </c>
      <c r="F192" s="46">
        <f>CEILING((Master!F234*1.06),0.5)</f>
        <v>1566.5</v>
      </c>
      <c r="G192" s="46">
        <f t="shared" si="25"/>
        <v>579.60500000000002</v>
      </c>
      <c r="H192" s="47">
        <f t="shared" si="26"/>
        <v>0.85763149041157338</v>
      </c>
      <c r="I192" s="48">
        <f t="shared" si="27"/>
        <v>206.29374999999999</v>
      </c>
      <c r="J192" s="48">
        <f t="shared" si="28"/>
        <v>253.90000000000003</v>
      </c>
      <c r="K192" s="48">
        <f t="shared" si="29"/>
        <v>330.07</v>
      </c>
    </row>
    <row r="193" spans="1:11" ht="18.75" customHeight="1" x14ac:dyDescent="0.25">
      <c r="B193" s="42" t="s">
        <v>302</v>
      </c>
      <c r="C193" s="43">
        <v>0.1</v>
      </c>
      <c r="D193" s="85" t="s">
        <v>303</v>
      </c>
      <c r="E193" s="68">
        <v>0.26</v>
      </c>
      <c r="F193" s="46">
        <f>CEILING((Master!F235*1.06),0.5)</f>
        <v>6.5</v>
      </c>
      <c r="G193" s="46">
        <f t="shared" si="25"/>
        <v>2.4049999999999998</v>
      </c>
      <c r="H193" s="47">
        <f t="shared" si="26"/>
        <v>0.89189189189189177</v>
      </c>
      <c r="I193" s="48">
        <f t="shared" si="27"/>
        <v>0.65</v>
      </c>
      <c r="J193" s="48">
        <f t="shared" si="28"/>
        <v>0.80000000000000016</v>
      </c>
      <c r="K193" s="48">
        <f t="shared" si="29"/>
        <v>1.04</v>
      </c>
    </row>
    <row r="194" spans="1:11" ht="18.75" customHeight="1" x14ac:dyDescent="0.25">
      <c r="B194" s="42" t="s">
        <v>304</v>
      </c>
      <c r="C194" s="43">
        <v>5</v>
      </c>
      <c r="D194" s="49" t="s">
        <v>305</v>
      </c>
      <c r="E194" s="119">
        <v>35.96</v>
      </c>
      <c r="F194" s="46">
        <f>CEILING((Master!F236*1.06),0.5)</f>
        <v>547.5</v>
      </c>
      <c r="G194" s="46">
        <f t="shared" si="25"/>
        <v>202.57499999999999</v>
      </c>
      <c r="H194" s="47">
        <f t="shared" si="26"/>
        <v>0.82248549919782787</v>
      </c>
      <c r="I194" s="48">
        <f t="shared" si="27"/>
        <v>89.899999999999991</v>
      </c>
      <c r="J194" s="48">
        <f t="shared" si="28"/>
        <v>110.64615384615387</v>
      </c>
      <c r="K194" s="48">
        <f t="shared" si="29"/>
        <v>143.84</v>
      </c>
    </row>
    <row r="195" spans="1:11" ht="18.75" customHeight="1" x14ac:dyDescent="0.25">
      <c r="B195" s="42" t="s">
        <v>306</v>
      </c>
      <c r="C195" s="43">
        <v>0.1</v>
      </c>
      <c r="D195" s="49" t="s">
        <v>307</v>
      </c>
      <c r="E195" s="92">
        <v>0.82399999999999995</v>
      </c>
      <c r="F195" s="46">
        <f>CEILING((Master!F237*1.06),0.5)</f>
        <v>6.5</v>
      </c>
      <c r="G195" s="46">
        <f t="shared" si="25"/>
        <v>2.4049999999999998</v>
      </c>
      <c r="H195" s="47">
        <f t="shared" si="26"/>
        <v>0.65738045738045747</v>
      </c>
      <c r="I195" s="48">
        <f t="shared" si="27"/>
        <v>2.0599999999999996</v>
      </c>
      <c r="J195" s="48">
        <f t="shared" si="28"/>
        <v>2.5353846153846158</v>
      </c>
      <c r="K195" s="48">
        <f t="shared" si="29"/>
        <v>3.2959999999999998</v>
      </c>
    </row>
    <row r="196" spans="1:11" ht="18.75" customHeight="1" x14ac:dyDescent="0.25">
      <c r="B196" s="393"/>
      <c r="C196" s="393"/>
      <c r="D196" s="393"/>
      <c r="E196" s="393"/>
      <c r="F196" s="393"/>
      <c r="G196" s="393"/>
      <c r="H196" s="77"/>
      <c r="I196" s="117"/>
      <c r="J196" s="117"/>
      <c r="K196" s="117"/>
    </row>
    <row r="197" spans="1:11" ht="19.7" customHeight="1" x14ac:dyDescent="0.25">
      <c r="B197" s="392" t="s">
        <v>308</v>
      </c>
      <c r="C197" s="392"/>
      <c r="D197" s="392"/>
      <c r="E197" s="392"/>
      <c r="F197" s="392"/>
      <c r="G197" s="392"/>
      <c r="H197" s="91"/>
      <c r="I197" s="91"/>
      <c r="J197" s="91"/>
      <c r="K197" s="91"/>
    </row>
    <row r="198" spans="1:11" ht="18.75" customHeight="1" x14ac:dyDescent="0.25">
      <c r="B198" s="42" t="s">
        <v>309</v>
      </c>
      <c r="C198" s="43">
        <v>20</v>
      </c>
      <c r="D198" s="52" t="s">
        <v>310</v>
      </c>
      <c r="E198" s="68">
        <v>405.04</v>
      </c>
      <c r="F198" s="46">
        <f>CEILING((Master!F240*1.06),0.5)</f>
        <v>5432</v>
      </c>
      <c r="G198" s="46">
        <f>F198*$G$5</f>
        <v>2009.84</v>
      </c>
      <c r="H198" s="47">
        <f>((G198-E198)/G198)</f>
        <v>0.79847152012100464</v>
      </c>
      <c r="I198" s="48">
        <f>(($E198/(1-I$9)))</f>
        <v>1012.6</v>
      </c>
      <c r="J198" s="48">
        <f>(($E198/(1-$J$9)))</f>
        <v>1246.2769230769234</v>
      </c>
      <c r="K198" s="48">
        <f>(($E198/(1-K$9)))</f>
        <v>1620.16</v>
      </c>
    </row>
    <row r="199" spans="1:11" ht="18.75" customHeight="1" x14ac:dyDescent="0.25">
      <c r="B199" s="42" t="s">
        <v>311</v>
      </c>
      <c r="C199" s="43">
        <v>50</v>
      </c>
      <c r="D199" s="96" t="s">
        <v>312</v>
      </c>
      <c r="E199" s="92">
        <v>303.65679999999998</v>
      </c>
      <c r="F199" s="46">
        <f>CEILING((Master!F241*1.06),0.5)</f>
        <v>5432</v>
      </c>
      <c r="G199" s="46">
        <f>F199*$G$5</f>
        <v>2009.84</v>
      </c>
      <c r="H199" s="47">
        <f>((G199-E199)/G199)</f>
        <v>0.84891493850256738</v>
      </c>
      <c r="I199" s="48">
        <f>(($E199/(1-I$9)))</f>
        <v>759.14199999999994</v>
      </c>
      <c r="J199" s="48">
        <f>(($E199/(1-$J$9)))</f>
        <v>934.32861538461543</v>
      </c>
      <c r="K199" s="48">
        <f>(($E199/(1-K$9)))</f>
        <v>1214.6271999999999</v>
      </c>
    </row>
    <row r="200" spans="1:11" ht="18.75" customHeight="1" x14ac:dyDescent="0.25">
      <c r="B200" s="393"/>
      <c r="C200" s="393"/>
      <c r="D200" s="393"/>
      <c r="E200" s="393"/>
      <c r="F200" s="393"/>
      <c r="G200" s="393"/>
      <c r="H200" s="77"/>
      <c r="I200" s="117"/>
      <c r="J200" s="117"/>
      <c r="K200" s="117"/>
    </row>
    <row r="201" spans="1:11" ht="19.7" customHeight="1" x14ac:dyDescent="0.25">
      <c r="B201" s="392" t="s">
        <v>313</v>
      </c>
      <c r="C201" s="392"/>
      <c r="D201" s="392"/>
      <c r="E201" s="392"/>
      <c r="F201" s="392"/>
      <c r="G201" s="392"/>
      <c r="H201" s="91"/>
      <c r="I201" s="91"/>
      <c r="J201" s="91"/>
      <c r="K201" s="91"/>
    </row>
    <row r="202" spans="1:11" ht="18.75" customHeight="1" x14ac:dyDescent="0.25">
      <c r="B202" s="124" t="s">
        <v>314</v>
      </c>
      <c r="C202" s="125" t="s">
        <v>315</v>
      </c>
      <c r="D202" s="126" t="s">
        <v>316</v>
      </c>
      <c r="E202" s="127"/>
      <c r="F202" s="128">
        <v>3000</v>
      </c>
      <c r="G202" s="46">
        <f>F202</f>
        <v>3000</v>
      </c>
      <c r="H202" s="47">
        <f>((G202-E202)/G202)</f>
        <v>1</v>
      </c>
      <c r="I202" s="48">
        <f>(($E202/(1-I$9)))</f>
        <v>0</v>
      </c>
      <c r="J202" s="48">
        <f>(($E202/(1-$J$9)))</f>
        <v>0</v>
      </c>
      <c r="K202" s="48">
        <f>(($E202/(1-K$9)))</f>
        <v>0</v>
      </c>
    </row>
    <row r="203" spans="1:11" ht="18.75" customHeight="1" x14ac:dyDescent="0.25">
      <c r="B203" s="129" t="s">
        <v>317</v>
      </c>
      <c r="C203" s="130" t="s">
        <v>315</v>
      </c>
      <c r="D203" s="131" t="s">
        <v>316</v>
      </c>
      <c r="E203" s="132"/>
      <c r="F203" s="133">
        <v>1500</v>
      </c>
      <c r="G203" s="46">
        <f>F203</f>
        <v>1500</v>
      </c>
      <c r="H203" s="47">
        <f>((G203-E203)/G203)</f>
        <v>1</v>
      </c>
      <c r="I203" s="48">
        <f>(($E203/(1-I$9)))</f>
        <v>0</v>
      </c>
      <c r="J203" s="48">
        <f>(($E203/(1-$J$9)))</f>
        <v>0</v>
      </c>
      <c r="K203" s="48">
        <f>(($E203/(1-K$9)))</f>
        <v>0</v>
      </c>
    </row>
    <row r="204" spans="1:11" ht="18.75" customHeight="1" x14ac:dyDescent="0.25"/>
    <row r="205" spans="1:11" ht="18.75" customHeight="1" x14ac:dyDescent="0.25">
      <c r="A205" s="134" t="s">
        <v>318</v>
      </c>
    </row>
    <row r="206" spans="1:11" ht="18.75" customHeight="1" x14ac:dyDescent="0.25"/>
    <row r="207" spans="1:11" ht="18.75" customHeight="1" x14ac:dyDescent="0.25">
      <c r="B207" s="394" t="s">
        <v>319</v>
      </c>
      <c r="C207" s="394"/>
      <c r="D207" s="394"/>
      <c r="E207" s="394"/>
      <c r="F207" s="394"/>
      <c r="G207" s="394"/>
      <c r="H207" s="91"/>
      <c r="I207" s="91"/>
      <c r="J207" s="91"/>
      <c r="K207" s="91"/>
    </row>
    <row r="208" spans="1:11" ht="18.75" customHeight="1" x14ac:dyDescent="0.25">
      <c r="A208" t="s">
        <v>142</v>
      </c>
      <c r="B208" s="135" t="s">
        <v>320</v>
      </c>
      <c r="C208" s="136"/>
      <c r="D208" s="137" t="s">
        <v>321</v>
      </c>
      <c r="E208" s="138">
        <v>5334.9320399999997</v>
      </c>
      <c r="F208" s="139">
        <v>28837.5</v>
      </c>
      <c r="G208" s="90">
        <f t="shared" ref="G208:G215" si="30">F208*$G$5</f>
        <v>10669.875</v>
      </c>
      <c r="H208" s="47">
        <f t="shared" ref="H208:H215" si="31">((G208-E208)/G208)</f>
        <v>0.50000051172108395</v>
      </c>
      <c r="I208" s="48">
        <f t="shared" ref="I208:I215" si="32">(($E208/(1-I$9)))</f>
        <v>13337.330099999999</v>
      </c>
      <c r="J208" s="48">
        <f t="shared" ref="J208:J215" si="33">(($E208/(1-$J$9)))</f>
        <v>16415.175507692307</v>
      </c>
      <c r="K208" s="48">
        <f t="shared" ref="K208:K215" si="34">(($E208/(1-K$9)))</f>
        <v>21339.728159999999</v>
      </c>
    </row>
    <row r="209" spans="1:11" ht="18.75" customHeight="1" x14ac:dyDescent="0.25">
      <c r="A209" t="s">
        <v>142</v>
      </c>
      <c r="B209" s="135" t="s">
        <v>322</v>
      </c>
      <c r="C209" s="136"/>
      <c r="D209" s="137" t="s">
        <v>323</v>
      </c>
      <c r="E209" s="138">
        <v>5333.2400399999997</v>
      </c>
      <c r="F209" s="139">
        <v>28828.5</v>
      </c>
      <c r="G209" s="90">
        <f t="shared" si="30"/>
        <v>10666.545</v>
      </c>
      <c r="H209" s="47">
        <f t="shared" si="31"/>
        <v>0.50000304315971111</v>
      </c>
      <c r="I209" s="48">
        <f t="shared" si="32"/>
        <v>13333.100099999998</v>
      </c>
      <c r="J209" s="48">
        <f t="shared" si="33"/>
        <v>16409.969353846154</v>
      </c>
      <c r="K209" s="48">
        <f t="shared" si="34"/>
        <v>21332.960159999999</v>
      </c>
    </row>
    <row r="210" spans="1:11" ht="18.75" customHeight="1" x14ac:dyDescent="0.25">
      <c r="A210" t="s">
        <v>142</v>
      </c>
      <c r="B210" s="135" t="s">
        <v>324</v>
      </c>
      <c r="C210" s="136"/>
      <c r="D210" s="137" t="s">
        <v>325</v>
      </c>
      <c r="E210" s="138">
        <v>5339.8853399999998</v>
      </c>
      <c r="F210" s="139">
        <v>28864.5</v>
      </c>
      <c r="G210" s="90">
        <f t="shared" si="30"/>
        <v>10679.865</v>
      </c>
      <c r="H210" s="47">
        <f t="shared" si="31"/>
        <v>0.50000441578615462</v>
      </c>
      <c r="I210" s="48">
        <f t="shared" si="32"/>
        <v>13349.713349999998</v>
      </c>
      <c r="J210" s="48">
        <f t="shared" si="33"/>
        <v>16430.416430769234</v>
      </c>
      <c r="K210" s="48">
        <f t="shared" si="34"/>
        <v>21359.541359999999</v>
      </c>
    </row>
    <row r="211" spans="1:11" ht="18.75" customHeight="1" x14ac:dyDescent="0.25">
      <c r="A211" t="s">
        <v>142</v>
      </c>
      <c r="B211" s="135" t="s">
        <v>326</v>
      </c>
      <c r="C211" s="136"/>
      <c r="D211" s="137" t="s">
        <v>327</v>
      </c>
      <c r="E211" s="138">
        <v>5338.1933399999998</v>
      </c>
      <c r="F211" s="139">
        <v>28855.5</v>
      </c>
      <c r="G211" s="90">
        <f t="shared" si="30"/>
        <v>10676.535</v>
      </c>
      <c r="H211" s="47">
        <f t="shared" si="31"/>
        <v>0.50000694607379648</v>
      </c>
      <c r="I211" s="48">
        <f t="shared" si="32"/>
        <v>13345.483349999999</v>
      </c>
      <c r="J211" s="48">
        <f t="shared" si="33"/>
        <v>16425.210276923077</v>
      </c>
      <c r="K211" s="48">
        <f t="shared" si="34"/>
        <v>21352.773359999999</v>
      </c>
    </row>
    <row r="212" spans="1:11" ht="18.75" customHeight="1" x14ac:dyDescent="0.25">
      <c r="A212" t="s">
        <v>142</v>
      </c>
      <c r="B212" s="135" t="s">
        <v>328</v>
      </c>
      <c r="C212" s="136"/>
      <c r="D212" s="137" t="s">
        <v>329</v>
      </c>
      <c r="E212" s="138">
        <v>5558.3598300000003</v>
      </c>
      <c r="F212" s="139">
        <v>30045.5</v>
      </c>
      <c r="G212" s="90">
        <f t="shared" si="30"/>
        <v>11116.834999999999</v>
      </c>
      <c r="H212" s="47">
        <f t="shared" si="31"/>
        <v>0.50000518762759361</v>
      </c>
      <c r="I212" s="48">
        <f t="shared" si="32"/>
        <v>13895.899574999999</v>
      </c>
      <c r="J212" s="48">
        <f t="shared" si="33"/>
        <v>17102.645630769235</v>
      </c>
      <c r="K212" s="48">
        <f t="shared" si="34"/>
        <v>22233.439320000001</v>
      </c>
    </row>
    <row r="213" spans="1:11" ht="18.75" customHeight="1" x14ac:dyDescent="0.25">
      <c r="A213" t="s">
        <v>142</v>
      </c>
      <c r="B213" s="135" t="s">
        <v>330</v>
      </c>
      <c r="C213" s="136"/>
      <c r="D213" s="137" t="s">
        <v>331</v>
      </c>
      <c r="E213" s="138">
        <v>5556.6678300000003</v>
      </c>
      <c r="F213" s="139">
        <v>30036.5</v>
      </c>
      <c r="G213" s="90">
        <f t="shared" si="30"/>
        <v>11113.504999999999</v>
      </c>
      <c r="H213" s="47">
        <f t="shared" si="31"/>
        <v>0.50000761865855992</v>
      </c>
      <c r="I213" s="48">
        <f t="shared" si="32"/>
        <v>13891.669575</v>
      </c>
      <c r="J213" s="48">
        <f t="shared" si="33"/>
        <v>17097.439476923078</v>
      </c>
      <c r="K213" s="48">
        <f t="shared" si="34"/>
        <v>22226.671320000001</v>
      </c>
    </row>
    <row r="214" spans="1:11" ht="18.75" customHeight="1" x14ac:dyDescent="0.25">
      <c r="A214" t="s">
        <v>142</v>
      </c>
      <c r="B214" s="135" t="s">
        <v>332</v>
      </c>
      <c r="C214" s="136"/>
      <c r="D214" s="137" t="s">
        <v>333</v>
      </c>
      <c r="E214" s="138">
        <v>5554.9758300000003</v>
      </c>
      <c r="F214" s="139">
        <v>30027</v>
      </c>
      <c r="G214" s="90">
        <f t="shared" si="30"/>
        <v>11109.99</v>
      </c>
      <c r="H214" s="47">
        <f t="shared" si="31"/>
        <v>0.50000172547410027</v>
      </c>
      <c r="I214" s="48">
        <f t="shared" si="32"/>
        <v>13887.439575</v>
      </c>
      <c r="J214" s="48">
        <f t="shared" si="33"/>
        <v>17092.233323076925</v>
      </c>
      <c r="K214" s="48">
        <f t="shared" si="34"/>
        <v>22219.903320000001</v>
      </c>
    </row>
    <row r="215" spans="1:11" ht="18.75" customHeight="1" x14ac:dyDescent="0.25">
      <c r="A215" t="s">
        <v>142</v>
      </c>
      <c r="B215" s="135" t="s">
        <v>334</v>
      </c>
      <c r="C215" s="136"/>
      <c r="D215" s="137" t="s">
        <v>335</v>
      </c>
      <c r="E215" s="138">
        <v>5553.2835999999998</v>
      </c>
      <c r="F215" s="139">
        <v>30018</v>
      </c>
      <c r="G215" s="90">
        <f t="shared" si="30"/>
        <v>11106.66</v>
      </c>
      <c r="H215" s="47">
        <f t="shared" si="31"/>
        <v>0.50000417767357608</v>
      </c>
      <c r="I215" s="48">
        <f t="shared" si="32"/>
        <v>13883.208999999999</v>
      </c>
      <c r="J215" s="48">
        <f t="shared" si="33"/>
        <v>17087.026461538462</v>
      </c>
      <c r="K215" s="48">
        <f t="shared" si="34"/>
        <v>22213.134399999999</v>
      </c>
    </row>
    <row r="216" spans="1:11" ht="18.75" customHeight="1" x14ac:dyDescent="0.25"/>
    <row r="217" spans="1:11" ht="18.75" customHeight="1" x14ac:dyDescent="0.25"/>
    <row r="218" spans="1:11" ht="18.75" customHeight="1" x14ac:dyDescent="0.25"/>
    <row r="219" spans="1:11" ht="18.75" customHeight="1" x14ac:dyDescent="0.25"/>
    <row r="220" spans="1:11" ht="18.75" customHeight="1" x14ac:dyDescent="0.25"/>
    <row r="221" spans="1:11" ht="18.75" customHeight="1" x14ac:dyDescent="0.25"/>
    <row r="222" spans="1:11" ht="18.75" customHeight="1" x14ac:dyDescent="0.25"/>
    <row r="223" spans="1:11" ht="18.75" customHeight="1" x14ac:dyDescent="0.25"/>
    <row r="224" spans="1:11" ht="18.75" customHeight="1" x14ac:dyDescent="0.25"/>
  </sheetData>
  <mergeCells count="64">
    <mergeCell ref="B1:C1"/>
    <mergeCell ref="B2:C2"/>
    <mergeCell ref="B9:G9"/>
    <mergeCell ref="B10:G10"/>
    <mergeCell ref="B13:G13"/>
    <mergeCell ref="B16:G16"/>
    <mergeCell ref="B21:G21"/>
    <mergeCell ref="B26:G26"/>
    <mergeCell ref="B30:G30"/>
    <mergeCell ref="B32:G32"/>
    <mergeCell ref="B33:G33"/>
    <mergeCell ref="B50:G50"/>
    <mergeCell ref="B51:G51"/>
    <mergeCell ref="B59:G59"/>
    <mergeCell ref="B60:G60"/>
    <mergeCell ref="B61:G61"/>
    <mergeCell ref="B62:G62"/>
    <mergeCell ref="B65:G65"/>
    <mergeCell ref="B68:G68"/>
    <mergeCell ref="B69:G69"/>
    <mergeCell ref="B70:G70"/>
    <mergeCell ref="B71:G71"/>
    <mergeCell ref="B74:G74"/>
    <mergeCell ref="B77:G77"/>
    <mergeCell ref="B78:G78"/>
    <mergeCell ref="B79:G79"/>
    <mergeCell ref="B80:G80"/>
    <mergeCell ref="B82:G82"/>
    <mergeCell ref="B84:G84"/>
    <mergeCell ref="B87:G87"/>
    <mergeCell ref="B88:G88"/>
    <mergeCell ref="B94:G94"/>
    <mergeCell ref="B95:G95"/>
    <mergeCell ref="B96:G96"/>
    <mergeCell ref="B99:G99"/>
    <mergeCell ref="B100:G100"/>
    <mergeCell ref="B105:G105"/>
    <mergeCell ref="B106:G106"/>
    <mergeCell ref="B117:G117"/>
    <mergeCell ref="B118:G118"/>
    <mergeCell ref="B122:G122"/>
    <mergeCell ref="B123:G123"/>
    <mergeCell ref="B127:G127"/>
    <mergeCell ref="B128:G128"/>
    <mergeCell ref="B131:G131"/>
    <mergeCell ref="B132:G132"/>
    <mergeCell ref="B134:G134"/>
    <mergeCell ref="B135:G135"/>
    <mergeCell ref="B136:G136"/>
    <mergeCell ref="B137:G137"/>
    <mergeCell ref="B141:G141"/>
    <mergeCell ref="B142:G142"/>
    <mergeCell ref="B146:G146"/>
    <mergeCell ref="B147:G147"/>
    <mergeCell ref="B160:G160"/>
    <mergeCell ref="B197:G197"/>
    <mergeCell ref="B200:G200"/>
    <mergeCell ref="B201:G201"/>
    <mergeCell ref="B207:G207"/>
    <mergeCell ref="B163:G163"/>
    <mergeCell ref="B164:G164"/>
    <mergeCell ref="B173:G173"/>
    <mergeCell ref="B174:G174"/>
    <mergeCell ref="B196:G196"/>
  </mergeCells>
  <conditionalFormatting sqref="B32 B50 B68:B69 B77:B78 B59 B65 B161:D1048576 B74 B51:D58">
    <cfRule type="expression" dxfId="49" priority="20">
      <formula>$B32="not found"</formula>
    </cfRule>
  </conditionalFormatting>
  <conditionalFormatting sqref="B74">
    <cfRule type="containsText" dxfId="48" priority="15" operator="containsText" text="not found">
      <formula>NOT(ISERROR(SEARCH("not found",B74)))</formula>
    </cfRule>
  </conditionalFormatting>
  <conditionalFormatting sqref="B80 B82 B134 B79:D79 B135:D136">
    <cfRule type="expression" dxfId="47" priority="17">
      <formula>$B79="not found"</formula>
    </cfRule>
  </conditionalFormatting>
  <conditionalFormatting sqref="B80 B82 B134">
    <cfRule type="containsText" dxfId="46" priority="14" operator="containsText" text="not found">
      <formula>NOT(ISERROR(SEARCH("not found",B80)))</formula>
    </cfRule>
  </conditionalFormatting>
  <conditionalFormatting sqref="B142">
    <cfRule type="containsText" dxfId="45" priority="10" operator="containsText" text="not found">
      <formula>NOT(ISERROR(SEARCH("not found",B142)))</formula>
    </cfRule>
    <cfRule type="expression" dxfId="44" priority="11">
      <formula>$B142="not found"</formula>
    </cfRule>
  </conditionalFormatting>
  <conditionalFormatting sqref="B1:D27 B28:B29 B30:D31 B33:D49 B60:D64 B66:D67 B70:D73 B75:D76 B81:D81 B83:D133 B137 B138:D140 B143:D159 B160">
    <cfRule type="expression" dxfId="43" priority="19">
      <formula>$B1="not found"</formula>
    </cfRule>
  </conditionalFormatting>
  <conditionalFormatting sqref="B141:D141">
    <cfRule type="expression" dxfId="42" priority="12">
      <formula>$B141="not found"</formula>
    </cfRule>
  </conditionalFormatting>
  <conditionalFormatting sqref="B79:G79 B135:G136 B27:H31 B138:G141 B7:K26 B32 B33:H49 B48:B50 B60:G62 H60:H68 B63:E64 G63:G64 B66:E67 G66:G67 B68:G68 B69 B70:H71 B72:E73 G72:H73 B75:E76 G75:H76 B77:H77 B78 B81:E81 B83:E83 B101:E104 G101:G104 B105:G133 B137">
    <cfRule type="containsText" dxfId="41" priority="18" operator="containsText" text="not found">
      <formula>NOT(ISERROR(SEARCH("not found",B7)))</formula>
    </cfRule>
  </conditionalFormatting>
  <conditionalFormatting sqref="B84:G100">
    <cfRule type="containsText" dxfId="40" priority="6" operator="containsText" text="not found">
      <formula>NOT(ISERROR(SEARCH("not found",B84)))</formula>
    </cfRule>
  </conditionalFormatting>
  <conditionalFormatting sqref="B51:H58 H79 H135:H136 H138:H141">
    <cfRule type="containsText" dxfId="39" priority="8" operator="containsText" text="not found">
      <formula>NOT(ISERROR(SEARCH("not found",B51)))</formula>
    </cfRule>
  </conditionalFormatting>
  <conditionalFormatting sqref="B207:K215">
    <cfRule type="containsText" dxfId="38" priority="2" operator="containsText" text="not found">
      <formula>NOT(ISERROR(SEARCH("not found",B207)))</formula>
    </cfRule>
  </conditionalFormatting>
  <conditionalFormatting sqref="C28:D28">
    <cfRule type="expression" dxfId="37" priority="22">
      <formula>#REF!="not found"</formula>
    </cfRule>
  </conditionalFormatting>
  <conditionalFormatting sqref="C29:D29">
    <cfRule type="expression" dxfId="36" priority="21">
      <formula>$B28="not found"</formula>
    </cfRule>
  </conditionalFormatting>
  <conditionalFormatting sqref="D28:D29">
    <cfRule type="expression" dxfId="35" priority="13">
      <formula>$B28="not found"</formula>
    </cfRule>
  </conditionalFormatting>
  <conditionalFormatting sqref="G83">
    <cfRule type="containsText" dxfId="34" priority="9" operator="containsText" text="not found">
      <formula>NOT(ISERROR(SEARCH("not found",G83)))</formula>
    </cfRule>
  </conditionalFormatting>
  <conditionalFormatting sqref="G81:H81">
    <cfRule type="containsText" dxfId="33" priority="7" operator="containsText" text="not found">
      <formula>NOT(ISERROR(SEARCH("not found",G81)))</formula>
    </cfRule>
  </conditionalFormatting>
  <conditionalFormatting sqref="H83:H133">
    <cfRule type="containsText" dxfId="32" priority="5" operator="containsText" text="not found">
      <formula>NOT(ISERROR(SEARCH("not found",H83)))</formula>
    </cfRule>
  </conditionalFormatting>
  <conditionalFormatting sqref="I27:K203 B59 B65 B143:H203">
    <cfRule type="containsText" dxfId="31" priority="16" operator="containsText" text="not found">
      <formula>NOT(ISERROR(SEARCH("not found",B27)))</formula>
    </cfRule>
  </conditionalFormatting>
  <dataValidations count="1">
    <dataValidation type="whole" allowBlank="1" showInputMessage="1" showErrorMessage="1" errorTitle="Exceeds Maximum Quantity" error="Maximum quantity is 1." promptTitle="First Day Site Support" prompt="User could only enter a 1" sqref="E202" xr:uid="{00000000-0002-0000-0000-000000000000}">
      <formula1>0</formula1>
      <formula2>1</formula2>
    </dataValidation>
  </dataValidations>
  <pageMargins left="0" right="0" top="0" bottom="0" header="0.511811023622047" footer="0.511811023622047"/>
  <pageSetup fitToHeight="0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265"/>
  <sheetViews>
    <sheetView zoomScale="85" zoomScaleNormal="85" workbookViewId="0">
      <pane ySplit="7" topLeftCell="A180" activePane="bottomLeft" state="frozen"/>
      <selection pane="bottomLeft" activeCell="D209" sqref="D209"/>
    </sheetView>
  </sheetViews>
  <sheetFormatPr defaultColWidth="8.7109375" defaultRowHeight="15" x14ac:dyDescent="0.25"/>
  <cols>
    <col min="1" max="1" width="5.7109375" customWidth="1"/>
    <col min="2" max="2" width="66.140625" customWidth="1"/>
    <col min="3" max="3" width="9.5703125" style="1" customWidth="1"/>
    <col min="4" max="4" width="27.140625" customWidth="1"/>
    <col min="5" max="7" width="14.42578125" customWidth="1"/>
    <col min="8" max="8" width="14.42578125" style="2" customWidth="1"/>
    <col min="9" max="10" width="14.42578125" customWidth="1"/>
    <col min="11" max="11" width="25" customWidth="1"/>
    <col min="12" max="12" width="1" style="3" customWidth="1"/>
    <col min="14" max="14" width="11.85546875" customWidth="1"/>
    <col min="15" max="15" width="16.7109375" customWidth="1"/>
    <col min="16" max="16" width="8" customWidth="1"/>
  </cols>
  <sheetData>
    <row r="1" spans="2:16" ht="67.5" customHeight="1" x14ac:dyDescent="0.25">
      <c r="B1" s="412" t="s">
        <v>336</v>
      </c>
      <c r="C1" s="412"/>
      <c r="D1" s="4"/>
      <c r="E1" s="4"/>
      <c r="F1" s="5"/>
      <c r="G1" s="6"/>
      <c r="H1" s="7"/>
      <c r="I1" s="6"/>
      <c r="J1" s="6"/>
    </row>
    <row r="2" spans="2:16" ht="19.7" customHeight="1" x14ac:dyDescent="0.3">
      <c r="B2" s="413" t="s">
        <v>1</v>
      </c>
      <c r="C2" s="413"/>
      <c r="D2" s="4"/>
      <c r="E2" s="4"/>
      <c r="F2" s="5"/>
      <c r="G2" s="6"/>
      <c r="H2" s="7"/>
      <c r="I2" s="6"/>
      <c r="J2" s="6"/>
    </row>
    <row r="3" spans="2:16" ht="19.5" customHeight="1" x14ac:dyDescent="0.25">
      <c r="B3" s="8"/>
      <c r="C3" s="9"/>
      <c r="D3" s="4"/>
      <c r="E3" s="4"/>
      <c r="F3" s="5"/>
      <c r="G3" s="6"/>
      <c r="H3" s="7"/>
      <c r="I3" s="6"/>
      <c r="J3" s="6"/>
    </row>
    <row r="4" spans="2:16" x14ac:dyDescent="0.25">
      <c r="B4" s="10"/>
      <c r="C4" s="11"/>
      <c r="D4" s="4"/>
      <c r="E4" s="12"/>
      <c r="F4" s="8"/>
      <c r="G4" s="13" t="s">
        <v>2</v>
      </c>
      <c r="H4" s="14"/>
      <c r="I4" s="13"/>
      <c r="J4" s="13"/>
    </row>
    <row r="5" spans="2:16" x14ac:dyDescent="0.25">
      <c r="B5" s="15" t="s">
        <v>3</v>
      </c>
      <c r="C5" s="16" t="s">
        <v>4</v>
      </c>
      <c r="E5" s="17"/>
      <c r="G5" s="18">
        <v>0.37</v>
      </c>
      <c r="H5" s="19"/>
      <c r="I5" s="19"/>
      <c r="J5" s="19"/>
    </row>
    <row r="6" spans="2:16" ht="15.75" x14ac:dyDescent="0.25">
      <c r="B6" s="20"/>
      <c r="C6" s="21"/>
      <c r="D6" s="20"/>
      <c r="E6" s="20"/>
      <c r="F6" s="20"/>
      <c r="G6" s="20"/>
      <c r="H6" s="22"/>
      <c r="I6" s="20"/>
      <c r="J6" s="20"/>
      <c r="N6" s="143">
        <f>SUM(N11:N245)</f>
        <v>49919.66</v>
      </c>
    </row>
    <row r="7" spans="2:16" ht="26.25" x14ac:dyDescent="0.25">
      <c r="B7" s="23" t="s">
        <v>5</v>
      </c>
      <c r="C7" s="24" t="s">
        <v>6</v>
      </c>
      <c r="D7" s="25" t="s">
        <v>7</v>
      </c>
      <c r="E7" s="26" t="s">
        <v>8</v>
      </c>
      <c r="F7" s="27" t="s">
        <v>9</v>
      </c>
      <c r="G7" s="28" t="s">
        <v>10</v>
      </c>
      <c r="H7" s="29" t="s">
        <v>11</v>
      </c>
      <c r="I7" s="30" t="s">
        <v>12</v>
      </c>
      <c r="J7" s="30" t="s">
        <v>14</v>
      </c>
      <c r="K7" s="144" t="s">
        <v>338</v>
      </c>
      <c r="M7" t="s">
        <v>339</v>
      </c>
      <c r="N7" s="145" t="s">
        <v>340</v>
      </c>
    </row>
    <row r="8" spans="2:16" ht="9.75" customHeight="1" x14ac:dyDescent="0.25">
      <c r="B8" s="32"/>
      <c r="C8" s="33"/>
      <c r="D8" s="34"/>
      <c r="E8" s="35"/>
      <c r="F8" s="36"/>
      <c r="G8" s="37"/>
      <c r="H8" s="38"/>
      <c r="I8" s="39"/>
      <c r="J8" s="39"/>
    </row>
    <row r="9" spans="2:16" ht="18.75" customHeight="1" x14ac:dyDescent="0.25">
      <c r="B9" s="408" t="s">
        <v>15</v>
      </c>
      <c r="C9" s="408"/>
      <c r="D9" s="408"/>
      <c r="E9" s="408"/>
      <c r="F9" s="408"/>
      <c r="G9" s="408"/>
      <c r="H9" s="40"/>
      <c r="I9" s="40"/>
      <c r="J9" s="40"/>
      <c r="O9" s="146" t="s">
        <v>341</v>
      </c>
      <c r="P9" s="146"/>
    </row>
    <row r="10" spans="2:16" ht="18.75" customHeight="1" x14ac:dyDescent="0.25">
      <c r="B10" s="400" t="s">
        <v>16</v>
      </c>
      <c r="C10" s="400"/>
      <c r="D10" s="400"/>
      <c r="E10" s="400"/>
      <c r="F10" s="400"/>
      <c r="G10" s="400"/>
      <c r="H10" s="41"/>
      <c r="I10" s="41"/>
      <c r="J10" s="41"/>
      <c r="O10" t="s">
        <v>342</v>
      </c>
      <c r="P10" t="s">
        <v>343</v>
      </c>
    </row>
    <row r="11" spans="2:16" ht="18.75" customHeight="1" x14ac:dyDescent="0.25">
      <c r="B11" s="147" t="s">
        <v>344</v>
      </c>
      <c r="C11" s="148">
        <v>1</v>
      </c>
      <c r="D11" s="149" t="s">
        <v>345</v>
      </c>
      <c r="E11" s="150">
        <v>162.334</v>
      </c>
      <c r="F11" s="151">
        <v>2019</v>
      </c>
      <c r="G11" s="151">
        <f>F11*$G$5</f>
        <v>747.03</v>
      </c>
      <c r="H11" s="47">
        <f>((G11-E11)/G11)</f>
        <v>0.78269413544302091</v>
      </c>
      <c r="I11" s="152">
        <f t="shared" ref="I11:I42" si="0">(5*E11)/2</f>
        <v>405.83500000000004</v>
      </c>
      <c r="J11" s="152">
        <f t="shared" ref="J11:J42" si="1">(4*E11)</f>
        <v>649.33600000000001</v>
      </c>
      <c r="K11" s="144" t="s">
        <v>346</v>
      </c>
      <c r="O11" t="s">
        <v>95</v>
      </c>
      <c r="P11">
        <v>617</v>
      </c>
    </row>
    <row r="12" spans="2:16" ht="18.75" customHeight="1" x14ac:dyDescent="0.25">
      <c r="B12" s="147" t="s">
        <v>347</v>
      </c>
      <c r="C12" s="148">
        <v>1</v>
      </c>
      <c r="D12" s="149" t="s">
        <v>348</v>
      </c>
      <c r="E12" s="150">
        <v>142.334</v>
      </c>
      <c r="F12" s="151">
        <v>2018</v>
      </c>
      <c r="G12" s="151">
        <f>F12*$G$5</f>
        <v>746.66</v>
      </c>
      <c r="H12" s="47">
        <f>((G12-E12)/G12)</f>
        <v>0.80937240511076003</v>
      </c>
      <c r="I12" s="152">
        <f t="shared" si="0"/>
        <v>355.83500000000004</v>
      </c>
      <c r="J12" s="152">
        <f t="shared" si="1"/>
        <v>569.33600000000001</v>
      </c>
      <c r="K12" s="144" t="s">
        <v>346</v>
      </c>
      <c r="O12" t="s">
        <v>222</v>
      </c>
      <c r="P12">
        <v>4871</v>
      </c>
    </row>
    <row r="13" spans="2:16" ht="18.75" customHeight="1" x14ac:dyDescent="0.25">
      <c r="B13" s="42" t="s">
        <v>349</v>
      </c>
      <c r="C13" s="43">
        <v>1</v>
      </c>
      <c r="D13" s="44" t="s">
        <v>18</v>
      </c>
      <c r="E13" s="45">
        <v>195.71360000000001</v>
      </c>
      <c r="F13" s="46">
        <v>2657.5</v>
      </c>
      <c r="G13" s="46">
        <f>F13*$G$5</f>
        <v>983.27499999999998</v>
      </c>
      <c r="H13" s="47">
        <f>((G13-E13)/G13)</f>
        <v>0.80095741272787369</v>
      </c>
      <c r="I13" s="48">
        <f t="shared" si="0"/>
        <v>489.28400000000005</v>
      </c>
      <c r="J13" s="48">
        <f t="shared" si="1"/>
        <v>782.85440000000006</v>
      </c>
      <c r="O13" t="s">
        <v>307</v>
      </c>
      <c r="P13">
        <v>6</v>
      </c>
    </row>
    <row r="14" spans="2:16" ht="18.75" customHeight="1" x14ac:dyDescent="0.25">
      <c r="B14" s="42" t="s">
        <v>19</v>
      </c>
      <c r="C14" s="43">
        <v>1</v>
      </c>
      <c r="D14" s="49" t="s">
        <v>20</v>
      </c>
      <c r="E14" s="50">
        <v>171.53399999999999</v>
      </c>
      <c r="F14" s="46">
        <v>2558</v>
      </c>
      <c r="G14" s="46">
        <f>F14*$G$5</f>
        <v>946.46</v>
      </c>
      <c r="H14" s="47">
        <f>((G14-E14)/G14)</f>
        <v>0.8187625467531644</v>
      </c>
      <c r="I14" s="48">
        <f t="shared" si="0"/>
        <v>428.83499999999998</v>
      </c>
      <c r="J14" s="48">
        <f t="shared" si="1"/>
        <v>686.13599999999997</v>
      </c>
      <c r="O14" t="s">
        <v>348</v>
      </c>
      <c r="P14">
        <v>2018</v>
      </c>
    </row>
    <row r="15" spans="2:16" ht="18.75" customHeight="1" x14ac:dyDescent="0.25">
      <c r="B15" s="398" t="s">
        <v>21</v>
      </c>
      <c r="C15" s="398"/>
      <c r="D15" s="398"/>
      <c r="E15" s="398"/>
      <c r="F15" s="398"/>
      <c r="G15" s="398"/>
      <c r="I15" s="48">
        <f t="shared" si="0"/>
        <v>0</v>
      </c>
      <c r="J15" s="48">
        <f t="shared" si="1"/>
        <v>0</v>
      </c>
      <c r="O15" t="s">
        <v>25</v>
      </c>
      <c r="P15">
        <v>2657</v>
      </c>
    </row>
    <row r="16" spans="2:16" ht="18.75" customHeight="1" x14ac:dyDescent="0.25">
      <c r="B16" s="42" t="s">
        <v>22</v>
      </c>
      <c r="C16" s="43">
        <v>1</v>
      </c>
      <c r="D16" s="52" t="s">
        <v>23</v>
      </c>
      <c r="E16" s="45">
        <v>160.1174</v>
      </c>
      <c r="F16" s="46">
        <v>2966</v>
      </c>
      <c r="G16" s="46">
        <f t="shared" ref="G16:G21" si="2">F16*$G$5</f>
        <v>1097.42</v>
      </c>
      <c r="H16" s="47">
        <f t="shared" ref="H16:H21" si="3">((G16-E16)/G16)</f>
        <v>0.85409651728599811</v>
      </c>
      <c r="I16" s="48">
        <f t="shared" si="0"/>
        <v>400.29349999999999</v>
      </c>
      <c r="J16" s="48">
        <f t="shared" si="1"/>
        <v>640.46960000000001</v>
      </c>
      <c r="O16" t="s">
        <v>350</v>
      </c>
      <c r="P16">
        <v>3383</v>
      </c>
    </row>
    <row r="17" spans="1:16" ht="18.75" customHeight="1" x14ac:dyDescent="0.25">
      <c r="B17" s="147" t="s">
        <v>351</v>
      </c>
      <c r="C17" s="148">
        <v>1</v>
      </c>
      <c r="D17" s="153" t="s">
        <v>352</v>
      </c>
      <c r="E17" s="150">
        <v>111.1814</v>
      </c>
      <c r="F17" s="151">
        <v>1969.5</v>
      </c>
      <c r="G17" s="151">
        <f t="shared" si="2"/>
        <v>728.71500000000003</v>
      </c>
      <c r="H17" s="47">
        <f t="shared" si="3"/>
        <v>0.84742814406180733</v>
      </c>
      <c r="I17" s="152">
        <f t="shared" si="0"/>
        <v>277.95349999999996</v>
      </c>
      <c r="J17" s="152">
        <f t="shared" si="1"/>
        <v>444.72559999999999</v>
      </c>
      <c r="K17" s="144" t="s">
        <v>346</v>
      </c>
      <c r="O17" t="s">
        <v>353</v>
      </c>
      <c r="P17">
        <v>5965.5</v>
      </c>
    </row>
    <row r="18" spans="1:16" ht="18.75" customHeight="1" x14ac:dyDescent="0.25">
      <c r="B18" s="42" t="s">
        <v>24</v>
      </c>
      <c r="C18" s="43">
        <v>1</v>
      </c>
      <c r="D18" s="52" t="s">
        <v>25</v>
      </c>
      <c r="E18" s="45">
        <v>241.4136</v>
      </c>
      <c r="F18" s="46">
        <v>2657</v>
      </c>
      <c r="G18" s="46">
        <f t="shared" si="2"/>
        <v>983.09</v>
      </c>
      <c r="H18" s="47">
        <f t="shared" si="3"/>
        <v>0.75443387685766317</v>
      </c>
      <c r="I18" s="48">
        <f t="shared" si="0"/>
        <v>603.53399999999999</v>
      </c>
      <c r="J18" s="48">
        <f t="shared" si="1"/>
        <v>965.65440000000001</v>
      </c>
      <c r="O18" t="s">
        <v>354</v>
      </c>
      <c r="P18">
        <v>6721.5</v>
      </c>
    </row>
    <row r="19" spans="1:16" ht="18.75" customHeight="1" x14ac:dyDescent="0.25">
      <c r="B19" s="147" t="s">
        <v>355</v>
      </c>
      <c r="C19" s="148">
        <v>1</v>
      </c>
      <c r="D19" s="153" t="s">
        <v>356</v>
      </c>
      <c r="E19" s="150">
        <v>111.1814</v>
      </c>
      <c r="F19" s="151">
        <v>1968.5</v>
      </c>
      <c r="G19" s="151">
        <f t="shared" si="2"/>
        <v>728.34500000000003</v>
      </c>
      <c r="H19" s="47">
        <f t="shared" si="3"/>
        <v>0.84735063740397765</v>
      </c>
      <c r="I19" s="152">
        <f t="shared" si="0"/>
        <v>277.95349999999996</v>
      </c>
      <c r="J19" s="152">
        <f t="shared" si="1"/>
        <v>444.72559999999999</v>
      </c>
      <c r="K19" s="144" t="s">
        <v>346</v>
      </c>
      <c r="O19" t="s">
        <v>357</v>
      </c>
      <c r="P19">
        <v>820.5</v>
      </c>
    </row>
    <row r="20" spans="1:16" ht="18.75" customHeight="1" x14ac:dyDescent="0.25">
      <c r="B20" s="147" t="s">
        <v>358</v>
      </c>
      <c r="C20" s="148">
        <v>1</v>
      </c>
      <c r="D20" s="153" t="s">
        <v>359</v>
      </c>
      <c r="E20" s="150">
        <v>159.8124</v>
      </c>
      <c r="F20" s="151">
        <v>2966</v>
      </c>
      <c r="G20" s="151">
        <f t="shared" si="2"/>
        <v>1097.42</v>
      </c>
      <c r="H20" s="47">
        <f t="shared" si="3"/>
        <v>0.85437444187275613</v>
      </c>
      <c r="I20" s="152">
        <f t="shared" si="0"/>
        <v>399.53100000000001</v>
      </c>
      <c r="J20" s="152">
        <f t="shared" si="1"/>
        <v>639.24959999999999</v>
      </c>
      <c r="K20" s="144" t="s">
        <v>346</v>
      </c>
      <c r="O20" t="s">
        <v>273</v>
      </c>
      <c r="P20">
        <v>173.5</v>
      </c>
    </row>
    <row r="21" spans="1:16" ht="18.75" customHeight="1" x14ac:dyDescent="0.25">
      <c r="B21" s="147" t="s">
        <v>360</v>
      </c>
      <c r="C21" s="148">
        <v>1</v>
      </c>
      <c r="D21" s="154" t="s">
        <v>361</v>
      </c>
      <c r="E21" s="155">
        <v>446.1574</v>
      </c>
      <c r="F21" s="151">
        <v>5074</v>
      </c>
      <c r="G21" s="151">
        <f t="shared" si="2"/>
        <v>1877.3799999999999</v>
      </c>
      <c r="H21" s="47">
        <f t="shared" si="3"/>
        <v>0.76235104241016727</v>
      </c>
      <c r="I21" s="152">
        <f t="shared" si="0"/>
        <v>1115.3934999999999</v>
      </c>
      <c r="J21" s="152">
        <f t="shared" si="1"/>
        <v>1784.6296</v>
      </c>
      <c r="K21" s="144" t="s">
        <v>346</v>
      </c>
      <c r="O21" t="s">
        <v>362</v>
      </c>
      <c r="P21">
        <v>7510.5</v>
      </c>
    </row>
    <row r="22" spans="1:16" ht="18.75" customHeight="1" x14ac:dyDescent="0.25">
      <c r="B22" s="409" t="s">
        <v>26</v>
      </c>
      <c r="C22" s="409"/>
      <c r="D22" s="409"/>
      <c r="E22" s="409"/>
      <c r="F22" s="409"/>
      <c r="G22" s="409"/>
      <c r="H22" s="47"/>
      <c r="I22" s="48">
        <f t="shared" si="0"/>
        <v>0</v>
      </c>
      <c r="J22" s="48">
        <f t="shared" si="1"/>
        <v>0</v>
      </c>
      <c r="O22" t="s">
        <v>363</v>
      </c>
      <c r="P22">
        <v>5264.5</v>
      </c>
    </row>
    <row r="23" spans="1:16" ht="18.75" customHeight="1" x14ac:dyDescent="0.25">
      <c r="B23" s="156" t="s">
        <v>364</v>
      </c>
      <c r="C23" s="157">
        <v>1</v>
      </c>
      <c r="D23" s="158" t="s">
        <v>365</v>
      </c>
      <c r="E23" s="159">
        <v>159.14671999999999</v>
      </c>
      <c r="F23" s="160">
        <v>2374</v>
      </c>
      <c r="G23" s="161">
        <f t="shared" ref="G23:G30" si="4">F23*$G$5</f>
        <v>878.38</v>
      </c>
      <c r="H23" s="47">
        <f t="shared" ref="H23:H30" si="5">((G23-E23)/G23)</f>
        <v>0.81881791479769583</v>
      </c>
      <c r="I23" s="152">
        <f t="shared" si="0"/>
        <v>397.86679999999996</v>
      </c>
      <c r="J23" s="152">
        <f t="shared" si="1"/>
        <v>636.58687999999995</v>
      </c>
      <c r="K23" s="144" t="s">
        <v>346</v>
      </c>
      <c r="O23" t="s">
        <v>206</v>
      </c>
      <c r="P23">
        <v>5374.5</v>
      </c>
    </row>
    <row r="24" spans="1:16" ht="18.75" customHeight="1" x14ac:dyDescent="0.25">
      <c r="B24" s="162" t="s">
        <v>366</v>
      </c>
      <c r="C24" s="163">
        <v>1</v>
      </c>
      <c r="D24" s="153" t="s">
        <v>367</v>
      </c>
      <c r="E24" s="164">
        <v>98.515720000000002</v>
      </c>
      <c r="F24" s="165">
        <v>1477.5</v>
      </c>
      <c r="G24" s="166">
        <f t="shared" si="4"/>
        <v>546.67499999999995</v>
      </c>
      <c r="H24" s="47">
        <f t="shared" si="5"/>
        <v>0.81979106416060732</v>
      </c>
      <c r="I24" s="152">
        <f t="shared" si="0"/>
        <v>246.2893</v>
      </c>
      <c r="J24" s="152">
        <f t="shared" si="1"/>
        <v>394.06288000000001</v>
      </c>
      <c r="K24" s="144" t="s">
        <v>346</v>
      </c>
      <c r="O24" t="s">
        <v>368</v>
      </c>
      <c r="P24">
        <v>6590.5</v>
      </c>
    </row>
    <row r="25" spans="1:16" ht="18.75" customHeight="1" x14ac:dyDescent="0.25">
      <c r="B25" s="162" t="s">
        <v>369</v>
      </c>
      <c r="C25" s="163">
        <v>1</v>
      </c>
      <c r="D25" s="153" t="s">
        <v>370</v>
      </c>
      <c r="E25" s="164">
        <v>98.465720000000005</v>
      </c>
      <c r="F25" s="165">
        <v>1477.5</v>
      </c>
      <c r="G25" s="166">
        <f t="shared" si="4"/>
        <v>546.67499999999995</v>
      </c>
      <c r="H25" s="47">
        <f t="shared" si="5"/>
        <v>0.81988252618100321</v>
      </c>
      <c r="I25" s="152">
        <f t="shared" si="0"/>
        <v>246.16430000000003</v>
      </c>
      <c r="J25" s="152">
        <f t="shared" si="1"/>
        <v>393.86288000000002</v>
      </c>
      <c r="K25" s="144" t="s">
        <v>346</v>
      </c>
      <c r="O25" t="s">
        <v>208</v>
      </c>
      <c r="P25">
        <v>7471.5</v>
      </c>
    </row>
    <row r="26" spans="1:16" ht="18.75" customHeight="1" x14ac:dyDescent="0.25">
      <c r="B26" s="162" t="s">
        <v>31</v>
      </c>
      <c r="C26" s="163">
        <v>1.5</v>
      </c>
      <c r="D26" s="153" t="s">
        <v>371</v>
      </c>
      <c r="E26" s="164">
        <v>132.80184</v>
      </c>
      <c r="F26" s="165">
        <v>5074</v>
      </c>
      <c r="G26" s="166">
        <f t="shared" si="4"/>
        <v>1877.3799999999999</v>
      </c>
      <c r="H26" s="47">
        <f t="shared" si="5"/>
        <v>0.92926214192118795</v>
      </c>
      <c r="I26" s="152">
        <f t="shared" si="0"/>
        <v>332.00459999999998</v>
      </c>
      <c r="J26" s="152">
        <f t="shared" si="1"/>
        <v>531.20735999999999</v>
      </c>
      <c r="K26" s="144" t="s">
        <v>346</v>
      </c>
      <c r="O26" t="s">
        <v>210</v>
      </c>
      <c r="P26">
        <v>9143</v>
      </c>
    </row>
    <row r="27" spans="1:16" ht="18.75" customHeight="1" x14ac:dyDescent="0.25">
      <c r="A27" t="s">
        <v>142</v>
      </c>
      <c r="B27" s="140" t="s">
        <v>27</v>
      </c>
      <c r="C27" s="54"/>
      <c r="D27" s="44" t="s">
        <v>28</v>
      </c>
      <c r="E27" s="55">
        <v>52.320099999999996</v>
      </c>
      <c r="F27" s="139">
        <v>2374</v>
      </c>
      <c r="G27" s="57">
        <f t="shared" si="4"/>
        <v>878.38</v>
      </c>
      <c r="H27" s="47">
        <f t="shared" si="5"/>
        <v>0.94043568842642133</v>
      </c>
      <c r="I27" s="48">
        <f t="shared" si="0"/>
        <v>130.80025000000001</v>
      </c>
      <c r="J27" s="48">
        <f t="shared" si="1"/>
        <v>209.28039999999999</v>
      </c>
      <c r="O27" t="s">
        <v>372</v>
      </c>
      <c r="P27">
        <v>8105</v>
      </c>
    </row>
    <row r="28" spans="1:16" ht="18.75" customHeight="1" x14ac:dyDescent="0.25">
      <c r="A28" t="s">
        <v>142</v>
      </c>
      <c r="B28" s="140" t="s">
        <v>29</v>
      </c>
      <c r="C28" s="54"/>
      <c r="D28" s="44" t="s">
        <v>30</v>
      </c>
      <c r="E28" s="55">
        <v>34.543799999999997</v>
      </c>
      <c r="F28" s="139">
        <v>1447.5</v>
      </c>
      <c r="G28" s="57">
        <f t="shared" si="4"/>
        <v>535.57500000000005</v>
      </c>
      <c r="H28" s="47">
        <f t="shared" si="5"/>
        <v>0.93550147038229947</v>
      </c>
      <c r="I28" s="48">
        <f t="shared" si="0"/>
        <v>86.359499999999997</v>
      </c>
      <c r="J28" s="48">
        <f t="shared" si="1"/>
        <v>138.17519999999999</v>
      </c>
      <c r="O28" t="s">
        <v>74</v>
      </c>
      <c r="P28">
        <v>1384.5</v>
      </c>
    </row>
    <row r="29" spans="1:16" ht="18.75" customHeight="1" x14ac:dyDescent="0.25">
      <c r="A29" t="s">
        <v>142</v>
      </c>
      <c r="B29" s="140" t="s">
        <v>31</v>
      </c>
      <c r="C29" s="54"/>
      <c r="D29" s="44" t="s">
        <v>32</v>
      </c>
      <c r="E29" s="55">
        <v>51.854239999999997</v>
      </c>
      <c r="F29" s="139">
        <v>2374</v>
      </c>
      <c r="G29" s="57">
        <f t="shared" si="4"/>
        <v>878.38</v>
      </c>
      <c r="H29" s="47">
        <f t="shared" si="5"/>
        <v>0.94096605113959786</v>
      </c>
      <c r="I29" s="48">
        <f t="shared" si="0"/>
        <v>129.63559999999998</v>
      </c>
      <c r="J29" s="48">
        <f t="shared" si="1"/>
        <v>207.41695999999999</v>
      </c>
      <c r="O29" t="s">
        <v>58</v>
      </c>
      <c r="P29">
        <v>1384.5</v>
      </c>
    </row>
    <row r="30" spans="1:16" ht="18.75" customHeight="1" x14ac:dyDescent="0.25">
      <c r="A30" t="s">
        <v>142</v>
      </c>
      <c r="B30" s="142" t="s">
        <v>33</v>
      </c>
      <c r="C30" s="60"/>
      <c r="D30" s="61" t="s">
        <v>34</v>
      </c>
      <c r="E30" s="62">
        <v>34.077939999999998</v>
      </c>
      <c r="F30" s="141">
        <v>1447.5</v>
      </c>
      <c r="G30" s="63">
        <f t="shared" si="4"/>
        <v>535.57500000000005</v>
      </c>
      <c r="H30" s="47">
        <f t="shared" si="5"/>
        <v>0.93637130187181994</v>
      </c>
      <c r="I30" s="48">
        <f t="shared" si="0"/>
        <v>85.194850000000002</v>
      </c>
      <c r="J30" s="48">
        <f t="shared" si="1"/>
        <v>136.31175999999999</v>
      </c>
      <c r="O30" t="s">
        <v>62</v>
      </c>
      <c r="P30">
        <v>1384.5</v>
      </c>
    </row>
    <row r="31" spans="1:16" ht="18.75" customHeight="1" x14ac:dyDescent="0.25">
      <c r="B31" s="410" t="s">
        <v>35</v>
      </c>
      <c r="C31" s="410"/>
      <c r="D31" s="410"/>
      <c r="E31" s="410"/>
      <c r="F31" s="410"/>
      <c r="G31" s="410"/>
      <c r="H31" s="47"/>
      <c r="I31" s="48">
        <f t="shared" si="0"/>
        <v>0</v>
      </c>
      <c r="J31" s="48">
        <f t="shared" si="1"/>
        <v>0</v>
      </c>
      <c r="O31" t="s">
        <v>66</v>
      </c>
      <c r="P31">
        <v>1384.5</v>
      </c>
    </row>
    <row r="32" spans="1:16" ht="18.75" customHeight="1" x14ac:dyDescent="0.25">
      <c r="B32" s="156" t="s">
        <v>373</v>
      </c>
      <c r="C32" s="157">
        <v>1</v>
      </c>
      <c r="D32" s="158" t="s">
        <v>374</v>
      </c>
      <c r="E32" s="159">
        <v>27.14865</v>
      </c>
      <c r="F32" s="160">
        <v>1565</v>
      </c>
      <c r="G32" s="161">
        <f>F32*$G$5</f>
        <v>579.04999999999995</v>
      </c>
      <c r="H32" s="47">
        <f t="shared" ref="H32:H37" si="6">((G32-E32)/G32)</f>
        <v>0.95311518867109923</v>
      </c>
      <c r="I32" s="152">
        <f t="shared" si="0"/>
        <v>67.871624999999995</v>
      </c>
      <c r="J32" s="152">
        <f t="shared" si="1"/>
        <v>108.5946</v>
      </c>
      <c r="K32" s="144" t="s">
        <v>346</v>
      </c>
      <c r="O32" t="s">
        <v>70</v>
      </c>
      <c r="P32">
        <v>1384.5</v>
      </c>
    </row>
    <row r="33" spans="1:16" ht="18.75" customHeight="1" x14ac:dyDescent="0.25">
      <c r="B33" s="53" t="s">
        <v>36</v>
      </c>
      <c r="C33" s="54">
        <v>1</v>
      </c>
      <c r="D33" s="44" t="s">
        <v>37</v>
      </c>
      <c r="E33" s="55">
        <v>102.34866</v>
      </c>
      <c r="F33" s="56">
        <v>1123.5</v>
      </c>
      <c r="G33" s="57">
        <f>F33*$G$5</f>
        <v>415.69499999999999</v>
      </c>
      <c r="H33" s="47">
        <f t="shared" si="6"/>
        <v>0.75378905206942592</v>
      </c>
      <c r="I33" s="48">
        <f t="shared" si="0"/>
        <v>255.87164999999999</v>
      </c>
      <c r="J33" s="48">
        <f t="shared" si="1"/>
        <v>409.39463999999998</v>
      </c>
      <c r="O33" t="s">
        <v>56</v>
      </c>
      <c r="P33">
        <v>1165.5</v>
      </c>
    </row>
    <row r="34" spans="1:16" ht="18.75" customHeight="1" x14ac:dyDescent="0.25">
      <c r="B34" s="162" t="s">
        <v>375</v>
      </c>
      <c r="C34" s="163">
        <v>1</v>
      </c>
      <c r="D34" s="153" t="s">
        <v>350</v>
      </c>
      <c r="E34" s="164">
        <v>142.62129999999999</v>
      </c>
      <c r="F34" s="165">
        <v>3383</v>
      </c>
      <c r="G34" s="166">
        <f>F34*$G$5</f>
        <v>1251.71</v>
      </c>
      <c r="H34" s="47">
        <f t="shared" si="6"/>
        <v>0.88605883151848275</v>
      </c>
      <c r="I34" s="152">
        <f t="shared" si="0"/>
        <v>356.55324999999999</v>
      </c>
      <c r="J34" s="152">
        <f t="shared" si="1"/>
        <v>570.48519999999996</v>
      </c>
      <c r="K34" s="144" t="s">
        <v>346</v>
      </c>
      <c r="O34" t="s">
        <v>60</v>
      </c>
      <c r="P34">
        <v>1165.5</v>
      </c>
    </row>
    <row r="35" spans="1:16" ht="18.75" customHeight="1" x14ac:dyDescent="0.25">
      <c r="B35" s="53" t="s">
        <v>38</v>
      </c>
      <c r="C35" s="54">
        <v>1</v>
      </c>
      <c r="D35" s="44" t="s">
        <v>39</v>
      </c>
      <c r="E35" s="55">
        <v>230.5925</v>
      </c>
      <c r="F35" s="56">
        <v>2086.5</v>
      </c>
      <c r="G35" s="57">
        <f>F35*$G$5</f>
        <v>772.005</v>
      </c>
      <c r="H35" s="47">
        <f t="shared" si="6"/>
        <v>0.70130698635371536</v>
      </c>
      <c r="I35" s="48">
        <f t="shared" si="0"/>
        <v>576.48125000000005</v>
      </c>
      <c r="J35" s="48">
        <f t="shared" si="1"/>
        <v>922.37</v>
      </c>
      <c r="O35" t="s">
        <v>64</v>
      </c>
      <c r="P35">
        <v>1165.5</v>
      </c>
    </row>
    <row r="36" spans="1:16" ht="18.75" customHeight="1" x14ac:dyDescent="0.25">
      <c r="A36" t="s">
        <v>142</v>
      </c>
      <c r="B36" s="140" t="s">
        <v>40</v>
      </c>
      <c r="C36" s="54"/>
      <c r="D36" s="44" t="s">
        <v>41</v>
      </c>
      <c r="E36" s="55">
        <v>60.224760000000003</v>
      </c>
      <c r="F36" s="139"/>
      <c r="G36" s="57"/>
      <c r="H36" s="47" t="e">
        <f t="shared" si="6"/>
        <v>#DIV/0!</v>
      </c>
      <c r="I36" s="48">
        <f t="shared" si="0"/>
        <v>150.56190000000001</v>
      </c>
      <c r="J36" s="48">
        <f t="shared" si="1"/>
        <v>240.89904000000001</v>
      </c>
      <c r="O36" t="s">
        <v>68</v>
      </c>
      <c r="P36">
        <v>1165.5</v>
      </c>
    </row>
    <row r="37" spans="1:16" ht="18.75" customHeight="1" x14ac:dyDescent="0.25">
      <c r="A37" t="s">
        <v>142</v>
      </c>
      <c r="B37" s="142" t="s">
        <v>42</v>
      </c>
      <c r="C37" s="60"/>
      <c r="D37" s="61" t="s">
        <v>43</v>
      </c>
      <c r="E37" s="62">
        <v>35.203800000000001</v>
      </c>
      <c r="F37" s="141"/>
      <c r="G37" s="63"/>
      <c r="H37" s="47" t="e">
        <f t="shared" si="6"/>
        <v>#DIV/0!</v>
      </c>
      <c r="I37" s="48">
        <f t="shared" si="0"/>
        <v>88.009500000000003</v>
      </c>
      <c r="J37" s="48">
        <f t="shared" si="1"/>
        <v>140.8152</v>
      </c>
      <c r="O37" t="s">
        <v>72</v>
      </c>
      <c r="P37">
        <v>1165.5</v>
      </c>
    </row>
    <row r="38" spans="1:16" ht="18.75" customHeight="1" x14ac:dyDescent="0.25">
      <c r="B38" s="410" t="s">
        <v>44</v>
      </c>
      <c r="C38" s="410"/>
      <c r="D38" s="410"/>
      <c r="E38" s="410"/>
      <c r="F38" s="410"/>
      <c r="G38" s="410"/>
      <c r="H38" s="47"/>
      <c r="I38" s="48">
        <f t="shared" si="0"/>
        <v>0</v>
      </c>
      <c r="J38" s="48">
        <f t="shared" si="1"/>
        <v>0</v>
      </c>
      <c r="O38" t="s">
        <v>291</v>
      </c>
      <c r="P38">
        <v>9.5</v>
      </c>
    </row>
    <row r="39" spans="1:16" ht="18.75" customHeight="1" x14ac:dyDescent="0.25">
      <c r="B39" s="156" t="s">
        <v>376</v>
      </c>
      <c r="C39" s="157">
        <v>1</v>
      </c>
      <c r="D39" s="158" t="s">
        <v>377</v>
      </c>
      <c r="E39" s="167">
        <v>93.357579999999999</v>
      </c>
      <c r="F39" s="160">
        <v>1936.5</v>
      </c>
      <c r="G39" s="161">
        <f t="shared" ref="G39:G45" si="7">F39*$G$5</f>
        <v>716.505</v>
      </c>
      <c r="H39" s="47">
        <f t="shared" ref="H39:H46" si="8">((G39-E39)/G39)</f>
        <v>0.86970421699778788</v>
      </c>
      <c r="I39" s="152">
        <f t="shared" si="0"/>
        <v>233.39394999999999</v>
      </c>
      <c r="J39" s="152">
        <f t="shared" si="1"/>
        <v>373.43031999999999</v>
      </c>
      <c r="K39" s="144" t="s">
        <v>346</v>
      </c>
      <c r="O39" t="s">
        <v>289</v>
      </c>
      <c r="P39">
        <v>18.5</v>
      </c>
    </row>
    <row r="40" spans="1:16" ht="18.75" customHeight="1" x14ac:dyDescent="0.25">
      <c r="B40" s="162" t="s">
        <v>378</v>
      </c>
      <c r="C40" s="163">
        <v>1</v>
      </c>
      <c r="D40" s="153" t="s">
        <v>379</v>
      </c>
      <c r="E40" s="164">
        <v>77.026600000000002</v>
      </c>
      <c r="F40" s="165">
        <v>1318.5</v>
      </c>
      <c r="G40" s="166">
        <f t="shared" si="7"/>
        <v>487.84499999999997</v>
      </c>
      <c r="H40" s="47">
        <f t="shared" si="8"/>
        <v>0.84210845657944644</v>
      </c>
      <c r="I40" s="152">
        <f t="shared" si="0"/>
        <v>192.56650000000002</v>
      </c>
      <c r="J40" s="152">
        <f t="shared" si="1"/>
        <v>308.10640000000001</v>
      </c>
      <c r="K40" s="144" t="s">
        <v>346</v>
      </c>
      <c r="O40" t="s">
        <v>297</v>
      </c>
      <c r="P40">
        <v>24</v>
      </c>
    </row>
    <row r="41" spans="1:16" ht="18.75" customHeight="1" x14ac:dyDescent="0.25">
      <c r="B41" s="53" t="s">
        <v>380</v>
      </c>
      <c r="C41" s="54">
        <v>1</v>
      </c>
      <c r="D41" s="44" t="s">
        <v>46</v>
      </c>
      <c r="E41" s="55">
        <v>193.33680000000001</v>
      </c>
      <c r="F41" s="56">
        <v>2657.5</v>
      </c>
      <c r="G41" s="57">
        <f t="shared" si="7"/>
        <v>983.27499999999998</v>
      </c>
      <c r="H41" s="47">
        <f t="shared" si="8"/>
        <v>0.80337464086852606</v>
      </c>
      <c r="I41" s="48">
        <f t="shared" si="0"/>
        <v>483.34200000000004</v>
      </c>
      <c r="J41" s="48">
        <f t="shared" si="1"/>
        <v>773.34720000000004</v>
      </c>
      <c r="O41" t="s">
        <v>220</v>
      </c>
      <c r="P41">
        <v>1973</v>
      </c>
    </row>
    <row r="42" spans="1:16" ht="18.75" customHeight="1" x14ac:dyDescent="0.25">
      <c r="B42" s="162" t="s">
        <v>381</v>
      </c>
      <c r="C42" s="163">
        <v>1</v>
      </c>
      <c r="D42" s="153" t="s">
        <v>382</v>
      </c>
      <c r="E42" s="164">
        <v>24.62865</v>
      </c>
      <c r="F42" s="165">
        <v>1935.5</v>
      </c>
      <c r="G42" s="166">
        <f t="shared" si="7"/>
        <v>716.13499999999999</v>
      </c>
      <c r="H42" s="47">
        <f t="shared" si="8"/>
        <v>0.96560892848415458</v>
      </c>
      <c r="I42" s="152">
        <f t="shared" si="0"/>
        <v>61.571624999999997</v>
      </c>
      <c r="J42" s="152">
        <f t="shared" si="1"/>
        <v>98.514600000000002</v>
      </c>
      <c r="K42" s="144" t="s">
        <v>346</v>
      </c>
      <c r="O42" t="s">
        <v>303</v>
      </c>
      <c r="P42">
        <v>6</v>
      </c>
    </row>
    <row r="43" spans="1:16" ht="18.75" customHeight="1" x14ac:dyDescent="0.25">
      <c r="B43" s="162" t="s">
        <v>383</v>
      </c>
      <c r="C43" s="163">
        <v>1</v>
      </c>
      <c r="D43" s="153" t="s">
        <v>384</v>
      </c>
      <c r="E43" s="164">
        <v>88.917580000000001</v>
      </c>
      <c r="F43" s="165">
        <v>1318.5</v>
      </c>
      <c r="G43" s="166">
        <f t="shared" si="7"/>
        <v>487.84499999999997</v>
      </c>
      <c r="H43" s="47">
        <f t="shared" si="8"/>
        <v>0.81773395238241653</v>
      </c>
      <c r="I43" s="152">
        <f t="shared" ref="I43:I74" si="9">(5*E43)/2</f>
        <v>222.29395</v>
      </c>
      <c r="J43" s="152">
        <f t="shared" ref="J43:J74" si="10">(4*E43)</f>
        <v>355.67032</v>
      </c>
      <c r="K43" s="144" t="s">
        <v>346</v>
      </c>
      <c r="O43" t="s">
        <v>134</v>
      </c>
      <c r="P43">
        <v>4092.5</v>
      </c>
    </row>
    <row r="44" spans="1:16" ht="18.75" customHeight="1" x14ac:dyDescent="0.25">
      <c r="B44" s="162" t="s">
        <v>385</v>
      </c>
      <c r="C44" s="163">
        <v>1.5</v>
      </c>
      <c r="D44" s="153" t="s">
        <v>386</v>
      </c>
      <c r="E44" s="164">
        <v>140.12129999999999</v>
      </c>
      <c r="F44" s="165">
        <v>3383.5</v>
      </c>
      <c r="G44" s="166">
        <f t="shared" si="7"/>
        <v>1251.895</v>
      </c>
      <c r="H44" s="47">
        <f t="shared" si="8"/>
        <v>0.88807264187491763</v>
      </c>
      <c r="I44" s="152">
        <f t="shared" si="9"/>
        <v>350.30324999999999</v>
      </c>
      <c r="J44" s="152">
        <f t="shared" si="10"/>
        <v>560.48519999999996</v>
      </c>
      <c r="K44" s="144" t="s">
        <v>346</v>
      </c>
      <c r="O44" t="s">
        <v>132</v>
      </c>
      <c r="P44">
        <v>1735.5</v>
      </c>
    </row>
    <row r="45" spans="1:16" ht="18.75" customHeight="1" x14ac:dyDescent="0.25">
      <c r="A45" t="s">
        <v>142</v>
      </c>
      <c r="B45" s="140" t="s">
        <v>47</v>
      </c>
      <c r="C45" s="54"/>
      <c r="D45" s="44" t="s">
        <v>48</v>
      </c>
      <c r="E45" s="55">
        <v>50.4801</v>
      </c>
      <c r="F45" s="139"/>
      <c r="G45" s="57">
        <f t="shared" si="7"/>
        <v>0</v>
      </c>
      <c r="H45" s="47" t="e">
        <f t="shared" si="8"/>
        <v>#DIV/0!</v>
      </c>
      <c r="I45" s="48">
        <f t="shared" si="9"/>
        <v>126.20025</v>
      </c>
      <c r="J45" s="48">
        <f t="shared" si="10"/>
        <v>201.9204</v>
      </c>
      <c r="O45" t="s">
        <v>301</v>
      </c>
      <c r="P45">
        <v>1477.5</v>
      </c>
    </row>
    <row r="46" spans="1:16" ht="18.75" customHeight="1" x14ac:dyDescent="0.25">
      <c r="A46" t="s">
        <v>142</v>
      </c>
      <c r="B46" s="142" t="s">
        <v>49</v>
      </c>
      <c r="C46" s="60"/>
      <c r="D46" s="61" t="s">
        <v>50</v>
      </c>
      <c r="E46" s="62">
        <v>32.703800000000001</v>
      </c>
      <c r="F46" s="141"/>
      <c r="G46" s="63"/>
      <c r="H46" s="47" t="e">
        <f t="shared" si="8"/>
        <v>#DIV/0!</v>
      </c>
      <c r="I46" s="48">
        <f t="shared" si="9"/>
        <v>81.759500000000003</v>
      </c>
      <c r="J46" s="48">
        <f t="shared" si="10"/>
        <v>130.8152</v>
      </c>
      <c r="O46" t="s">
        <v>387</v>
      </c>
      <c r="P46">
        <v>1840.5</v>
      </c>
    </row>
    <row r="47" spans="1:16" ht="18.75" customHeight="1" x14ac:dyDescent="0.25">
      <c r="B47" s="411" t="s">
        <v>51</v>
      </c>
      <c r="C47" s="411"/>
      <c r="D47" s="411"/>
      <c r="E47" s="411"/>
      <c r="F47" s="411"/>
      <c r="G47" s="411"/>
      <c r="H47" s="47"/>
      <c r="I47" s="48">
        <f t="shared" si="9"/>
        <v>0</v>
      </c>
      <c r="J47" s="48">
        <f t="shared" si="10"/>
        <v>0</v>
      </c>
      <c r="O47" t="s">
        <v>388</v>
      </c>
      <c r="P47">
        <v>4092.5</v>
      </c>
    </row>
    <row r="48" spans="1:16" ht="18.75" customHeight="1" x14ac:dyDescent="0.25">
      <c r="A48" t="s">
        <v>142</v>
      </c>
      <c r="B48" s="168" t="s">
        <v>52</v>
      </c>
      <c r="C48" s="65"/>
      <c r="D48" s="49" t="s">
        <v>53</v>
      </c>
      <c r="E48" s="66">
        <v>68.490399999999994</v>
      </c>
      <c r="F48" s="48"/>
      <c r="G48" s="48"/>
      <c r="H48" s="47" t="e">
        <f>((G48-E48)/G48)</f>
        <v>#DIV/0!</v>
      </c>
      <c r="I48" s="48">
        <f t="shared" si="9"/>
        <v>171.226</v>
      </c>
      <c r="J48" s="48">
        <f t="shared" si="10"/>
        <v>273.96159999999998</v>
      </c>
      <c r="O48" t="s">
        <v>267</v>
      </c>
      <c r="P48">
        <v>30</v>
      </c>
    </row>
    <row r="49" spans="2:16" ht="18.75" customHeight="1" x14ac:dyDescent="0.25">
      <c r="B49" s="407"/>
      <c r="C49" s="407"/>
      <c r="D49" s="407"/>
      <c r="E49" s="407"/>
      <c r="F49" s="407"/>
      <c r="G49" s="407"/>
      <c r="H49" s="47"/>
      <c r="I49" s="48">
        <f t="shared" si="9"/>
        <v>0</v>
      </c>
      <c r="J49" s="48">
        <f t="shared" si="10"/>
        <v>0</v>
      </c>
      <c r="O49" t="s">
        <v>389</v>
      </c>
      <c r="P49">
        <v>1104</v>
      </c>
    </row>
    <row r="50" spans="2:16" ht="18.75" customHeight="1" x14ac:dyDescent="0.25">
      <c r="B50" s="398" t="s">
        <v>54</v>
      </c>
      <c r="C50" s="398"/>
      <c r="D50" s="398"/>
      <c r="E50" s="398"/>
      <c r="F50" s="398"/>
      <c r="G50" s="398"/>
      <c r="H50" s="67"/>
      <c r="I50" s="48">
        <f t="shared" si="9"/>
        <v>0</v>
      </c>
      <c r="J50" s="48">
        <f t="shared" si="10"/>
        <v>0</v>
      </c>
      <c r="O50" t="s">
        <v>390</v>
      </c>
      <c r="P50">
        <v>1104</v>
      </c>
    </row>
    <row r="51" spans="2:16" ht="18.75" customHeight="1" x14ac:dyDescent="0.25">
      <c r="B51" s="42" t="s">
        <v>55</v>
      </c>
      <c r="C51" s="43">
        <v>1</v>
      </c>
      <c r="D51" s="52" t="s">
        <v>56</v>
      </c>
      <c r="E51" s="68">
        <v>103.42</v>
      </c>
      <c r="F51" s="46">
        <v>1165.5</v>
      </c>
      <c r="G51" s="46">
        <f t="shared" ref="G51:G60" si="11">F51*$G$5</f>
        <v>431.23500000000001</v>
      </c>
      <c r="H51" s="47">
        <f t="shared" ref="H51:H60" si="12">((G51-E51)/G51)</f>
        <v>0.76017716558257098</v>
      </c>
      <c r="I51" s="48">
        <f t="shared" si="9"/>
        <v>258.55</v>
      </c>
      <c r="J51" s="48">
        <f t="shared" si="10"/>
        <v>413.68</v>
      </c>
      <c r="O51" t="s">
        <v>391</v>
      </c>
      <c r="P51">
        <v>1043</v>
      </c>
    </row>
    <row r="52" spans="2:16" ht="18.75" customHeight="1" x14ac:dyDescent="0.25">
      <c r="B52" s="42" t="s">
        <v>57</v>
      </c>
      <c r="C52" s="43">
        <v>1</v>
      </c>
      <c r="D52" s="44" t="s">
        <v>58</v>
      </c>
      <c r="E52" s="68">
        <v>133.38999999999999</v>
      </c>
      <c r="F52" s="46">
        <v>1384.5</v>
      </c>
      <c r="G52" s="46">
        <f t="shared" si="11"/>
        <v>512.26499999999999</v>
      </c>
      <c r="H52" s="47">
        <f t="shared" si="12"/>
        <v>0.73960742974827487</v>
      </c>
      <c r="I52" s="48">
        <f t="shared" si="9"/>
        <v>333.47499999999997</v>
      </c>
      <c r="J52" s="48">
        <f t="shared" si="10"/>
        <v>533.55999999999995</v>
      </c>
      <c r="O52" t="s">
        <v>392</v>
      </c>
      <c r="P52">
        <v>1043</v>
      </c>
    </row>
    <row r="53" spans="2:16" ht="18.75" customHeight="1" x14ac:dyDescent="0.25">
      <c r="B53" s="42" t="s">
        <v>59</v>
      </c>
      <c r="C53" s="43">
        <v>1</v>
      </c>
      <c r="D53" s="44" t="s">
        <v>60</v>
      </c>
      <c r="E53" s="68">
        <v>109.44</v>
      </c>
      <c r="F53" s="46">
        <v>1165.5</v>
      </c>
      <c r="G53" s="46">
        <f t="shared" si="11"/>
        <v>431.23500000000001</v>
      </c>
      <c r="H53" s="47">
        <f t="shared" si="12"/>
        <v>0.74621725973077324</v>
      </c>
      <c r="I53" s="48">
        <f t="shared" si="9"/>
        <v>273.60000000000002</v>
      </c>
      <c r="J53" s="48">
        <f t="shared" si="10"/>
        <v>437.76</v>
      </c>
      <c r="O53" t="s">
        <v>393</v>
      </c>
      <c r="P53">
        <v>1043</v>
      </c>
    </row>
    <row r="54" spans="2:16" ht="18.75" customHeight="1" x14ac:dyDescent="0.25">
      <c r="B54" s="42" t="s">
        <v>61</v>
      </c>
      <c r="C54" s="43">
        <v>1</v>
      </c>
      <c r="D54" s="44" t="s">
        <v>62</v>
      </c>
      <c r="E54" s="68">
        <v>133.38999999999999</v>
      </c>
      <c r="F54" s="46">
        <v>1384.5</v>
      </c>
      <c r="G54" s="46">
        <f t="shared" si="11"/>
        <v>512.26499999999999</v>
      </c>
      <c r="H54" s="47">
        <f t="shared" si="12"/>
        <v>0.73960742974827487</v>
      </c>
      <c r="I54" s="48">
        <f t="shared" si="9"/>
        <v>333.47499999999997</v>
      </c>
      <c r="J54" s="48">
        <f t="shared" si="10"/>
        <v>533.55999999999995</v>
      </c>
      <c r="O54" t="s">
        <v>269</v>
      </c>
      <c r="P54">
        <v>30</v>
      </c>
    </row>
    <row r="55" spans="2:16" ht="18.75" customHeight="1" x14ac:dyDescent="0.25">
      <c r="B55" s="42" t="s">
        <v>63</v>
      </c>
      <c r="C55" s="43">
        <v>1</v>
      </c>
      <c r="D55" s="44" t="s">
        <v>64</v>
      </c>
      <c r="E55" s="68">
        <v>103.42</v>
      </c>
      <c r="F55" s="46">
        <v>1165.5</v>
      </c>
      <c r="G55" s="46">
        <f t="shared" si="11"/>
        <v>431.23500000000001</v>
      </c>
      <c r="H55" s="47">
        <f t="shared" si="12"/>
        <v>0.76017716558257098</v>
      </c>
      <c r="I55" s="48">
        <f t="shared" si="9"/>
        <v>258.55</v>
      </c>
      <c r="J55" s="48">
        <f t="shared" si="10"/>
        <v>413.68</v>
      </c>
      <c r="O55" t="s">
        <v>271</v>
      </c>
      <c r="P55">
        <v>30</v>
      </c>
    </row>
    <row r="56" spans="2:16" ht="18.75" customHeight="1" x14ac:dyDescent="0.25">
      <c r="B56" s="42" t="s">
        <v>65</v>
      </c>
      <c r="C56" s="43">
        <v>1</v>
      </c>
      <c r="D56" s="44" t="s">
        <v>66</v>
      </c>
      <c r="E56" s="68">
        <v>135.51</v>
      </c>
      <c r="F56" s="46">
        <v>1384.5</v>
      </c>
      <c r="G56" s="46">
        <f t="shared" si="11"/>
        <v>512.26499999999999</v>
      </c>
      <c r="H56" s="47">
        <f t="shared" si="12"/>
        <v>0.73546894673655239</v>
      </c>
      <c r="I56" s="48">
        <f t="shared" si="9"/>
        <v>338.77499999999998</v>
      </c>
      <c r="J56" s="48">
        <f t="shared" si="10"/>
        <v>542.04</v>
      </c>
      <c r="O56" t="s">
        <v>277</v>
      </c>
      <c r="P56">
        <v>455.5</v>
      </c>
    </row>
    <row r="57" spans="2:16" ht="18.75" customHeight="1" x14ac:dyDescent="0.25">
      <c r="B57" s="42" t="s">
        <v>67</v>
      </c>
      <c r="C57" s="43">
        <v>1</v>
      </c>
      <c r="D57" s="44" t="s">
        <v>68</v>
      </c>
      <c r="E57" s="68">
        <v>103.42</v>
      </c>
      <c r="F57" s="46">
        <v>1165.5</v>
      </c>
      <c r="G57" s="46">
        <f t="shared" si="11"/>
        <v>431.23500000000001</v>
      </c>
      <c r="H57" s="47">
        <f t="shared" si="12"/>
        <v>0.76017716558257098</v>
      </c>
      <c r="I57" s="48">
        <f t="shared" si="9"/>
        <v>258.55</v>
      </c>
      <c r="J57" s="48">
        <f t="shared" si="10"/>
        <v>413.68</v>
      </c>
      <c r="O57" t="s">
        <v>275</v>
      </c>
      <c r="P57">
        <v>496</v>
      </c>
    </row>
    <row r="58" spans="2:16" ht="18.75" customHeight="1" x14ac:dyDescent="0.25">
      <c r="B58" s="42" t="s">
        <v>69</v>
      </c>
      <c r="C58" s="43">
        <v>1</v>
      </c>
      <c r="D58" s="44" t="s">
        <v>70</v>
      </c>
      <c r="E58" s="68">
        <v>135.51</v>
      </c>
      <c r="F58" s="46">
        <v>1384.5</v>
      </c>
      <c r="G58" s="46">
        <f t="shared" si="11"/>
        <v>512.26499999999999</v>
      </c>
      <c r="H58" s="47">
        <f t="shared" si="12"/>
        <v>0.73546894673655239</v>
      </c>
      <c r="I58" s="48">
        <f t="shared" si="9"/>
        <v>338.77499999999998</v>
      </c>
      <c r="J58" s="48">
        <f t="shared" si="10"/>
        <v>542.04</v>
      </c>
      <c r="O58" t="s">
        <v>295</v>
      </c>
      <c r="P58">
        <v>238</v>
      </c>
    </row>
    <row r="59" spans="2:16" ht="18.75" customHeight="1" x14ac:dyDescent="0.25">
      <c r="B59" s="42" t="s">
        <v>71</v>
      </c>
      <c r="C59" s="43">
        <v>1</v>
      </c>
      <c r="D59" s="44" t="s">
        <v>72</v>
      </c>
      <c r="E59" s="68">
        <v>103.42</v>
      </c>
      <c r="F59" s="46">
        <v>1165.5</v>
      </c>
      <c r="G59" s="46">
        <f t="shared" si="11"/>
        <v>431.23500000000001</v>
      </c>
      <c r="H59" s="47">
        <f t="shared" si="12"/>
        <v>0.76017716558257098</v>
      </c>
      <c r="I59" s="48">
        <f t="shared" si="9"/>
        <v>258.55</v>
      </c>
      <c r="J59" s="48">
        <f t="shared" si="10"/>
        <v>413.68</v>
      </c>
      <c r="O59" t="s">
        <v>76</v>
      </c>
      <c r="P59">
        <v>1165.5</v>
      </c>
    </row>
    <row r="60" spans="2:16" ht="18.75" customHeight="1" x14ac:dyDescent="0.25">
      <c r="B60" s="64" t="s">
        <v>73</v>
      </c>
      <c r="C60" s="70">
        <v>1</v>
      </c>
      <c r="D60" s="49" t="s">
        <v>74</v>
      </c>
      <c r="E60" s="68">
        <v>135.51</v>
      </c>
      <c r="F60" s="75">
        <v>1384.5</v>
      </c>
      <c r="G60" s="46">
        <f t="shared" si="11"/>
        <v>512.26499999999999</v>
      </c>
      <c r="H60" s="47">
        <f t="shared" si="12"/>
        <v>0.73546894673655239</v>
      </c>
      <c r="I60" s="48">
        <f t="shared" si="9"/>
        <v>338.77499999999998</v>
      </c>
      <c r="J60" s="48">
        <f t="shared" si="10"/>
        <v>542.04</v>
      </c>
      <c r="O60" t="s">
        <v>78</v>
      </c>
      <c r="P60">
        <v>1165.5</v>
      </c>
    </row>
    <row r="61" spans="2:16" ht="18.75" customHeight="1" x14ac:dyDescent="0.25">
      <c r="B61" s="407"/>
      <c r="C61" s="407"/>
      <c r="D61" s="407"/>
      <c r="E61" s="407"/>
      <c r="F61" s="407"/>
      <c r="G61" s="407"/>
      <c r="H61" s="51"/>
      <c r="I61" s="48">
        <f t="shared" si="9"/>
        <v>0</v>
      </c>
      <c r="J61" s="48">
        <f t="shared" si="10"/>
        <v>0</v>
      </c>
      <c r="O61" t="s">
        <v>193</v>
      </c>
      <c r="P61">
        <v>3075.5</v>
      </c>
    </row>
    <row r="62" spans="2:16" ht="18.75" customHeight="1" x14ac:dyDescent="0.25">
      <c r="B62" s="398" t="s">
        <v>87</v>
      </c>
      <c r="C62" s="398"/>
      <c r="D62" s="398"/>
      <c r="E62" s="398"/>
      <c r="F62" s="398"/>
      <c r="G62" s="398"/>
      <c r="H62" s="78"/>
      <c r="I62" s="48">
        <f t="shared" si="9"/>
        <v>0</v>
      </c>
      <c r="J62" s="48">
        <f t="shared" si="10"/>
        <v>0</v>
      </c>
      <c r="O62" t="s">
        <v>394</v>
      </c>
      <c r="P62">
        <v>1761</v>
      </c>
    </row>
    <row r="63" spans="2:16" ht="18.75" customHeight="1" x14ac:dyDescent="0.25">
      <c r="B63" s="42" t="s">
        <v>88</v>
      </c>
      <c r="C63" s="43">
        <v>0.1</v>
      </c>
      <c r="D63" s="52" t="s">
        <v>89</v>
      </c>
      <c r="E63" s="68">
        <v>4.26</v>
      </c>
      <c r="F63" s="46">
        <v>21</v>
      </c>
      <c r="G63" s="46">
        <f t="shared" ref="G63:G69" si="13">F63*$G$5</f>
        <v>7.77</v>
      </c>
      <c r="H63" s="47">
        <f t="shared" ref="H63:H69" si="14">((G63-E63)/G63)</f>
        <v>0.45173745173745172</v>
      </c>
      <c r="I63" s="48">
        <f t="shared" si="9"/>
        <v>10.649999999999999</v>
      </c>
      <c r="J63" s="48">
        <f t="shared" si="10"/>
        <v>17.04</v>
      </c>
      <c r="O63" t="s">
        <v>395</v>
      </c>
      <c r="P63">
        <v>1819.5</v>
      </c>
    </row>
    <row r="64" spans="2:16" ht="18.75" customHeight="1" x14ac:dyDescent="0.25">
      <c r="B64" s="42" t="s">
        <v>90</v>
      </c>
      <c r="C64" s="43">
        <v>0.4</v>
      </c>
      <c r="D64" s="44" t="s">
        <v>91</v>
      </c>
      <c r="E64" s="68">
        <v>67.512699999999995</v>
      </c>
      <c r="F64" s="46">
        <v>353</v>
      </c>
      <c r="G64" s="46">
        <f t="shared" si="13"/>
        <v>130.60999999999999</v>
      </c>
      <c r="H64" s="47">
        <f t="shared" si="14"/>
        <v>0.48309700635479669</v>
      </c>
      <c r="I64" s="48">
        <f t="shared" si="9"/>
        <v>168.78174999999999</v>
      </c>
      <c r="J64" s="48">
        <f t="shared" si="10"/>
        <v>270.05079999999998</v>
      </c>
      <c r="O64" t="s">
        <v>396</v>
      </c>
      <c r="P64">
        <v>1858.5</v>
      </c>
    </row>
    <row r="65" spans="2:16" ht="18.75" customHeight="1" x14ac:dyDescent="0.25">
      <c r="B65" s="42" t="s">
        <v>92</v>
      </c>
      <c r="C65" s="43">
        <v>0.4</v>
      </c>
      <c r="D65" s="44" t="s">
        <v>93</v>
      </c>
      <c r="E65" s="68">
        <v>76.17</v>
      </c>
      <c r="F65" s="46">
        <v>531</v>
      </c>
      <c r="G65" s="46">
        <f t="shared" si="13"/>
        <v>196.47</v>
      </c>
      <c r="H65" s="47">
        <f t="shared" si="14"/>
        <v>0.61230722247671399</v>
      </c>
      <c r="I65" s="48">
        <f t="shared" si="9"/>
        <v>190.42500000000001</v>
      </c>
      <c r="J65" s="48">
        <f t="shared" si="10"/>
        <v>304.68</v>
      </c>
      <c r="O65" t="s">
        <v>397</v>
      </c>
      <c r="P65">
        <v>2004</v>
      </c>
    </row>
    <row r="66" spans="2:16" ht="18.75" customHeight="1" x14ac:dyDescent="0.25">
      <c r="B66" s="42" t="s">
        <v>94</v>
      </c>
      <c r="C66" s="43">
        <v>1</v>
      </c>
      <c r="D66" s="44" t="s">
        <v>95</v>
      </c>
      <c r="E66" s="68">
        <v>107.544</v>
      </c>
      <c r="F66" s="46">
        <v>617</v>
      </c>
      <c r="G66" s="46">
        <f t="shared" si="13"/>
        <v>228.29</v>
      </c>
      <c r="H66" s="47">
        <f t="shared" si="14"/>
        <v>0.5289149765648955</v>
      </c>
      <c r="I66" s="48">
        <f t="shared" si="9"/>
        <v>268.86</v>
      </c>
      <c r="J66" s="48">
        <f t="shared" si="10"/>
        <v>430.17599999999999</v>
      </c>
      <c r="O66" t="s">
        <v>189</v>
      </c>
      <c r="P66">
        <v>1807.5</v>
      </c>
    </row>
    <row r="67" spans="2:16" ht="18.75" customHeight="1" x14ac:dyDescent="0.25">
      <c r="B67" s="42" t="s">
        <v>96</v>
      </c>
      <c r="C67" s="43">
        <v>0.1</v>
      </c>
      <c r="D67" s="44" t="s">
        <v>97</v>
      </c>
      <c r="E67" s="68">
        <v>1.1299999999999999</v>
      </c>
      <c r="F67" s="46">
        <v>8</v>
      </c>
      <c r="G67" s="46">
        <f t="shared" si="13"/>
        <v>2.96</v>
      </c>
      <c r="H67" s="47">
        <f t="shared" si="14"/>
        <v>0.61824324324324331</v>
      </c>
      <c r="I67" s="48">
        <f t="shared" si="9"/>
        <v>2.8249999999999997</v>
      </c>
      <c r="J67" s="48">
        <f t="shared" si="10"/>
        <v>4.5199999999999996</v>
      </c>
      <c r="O67" t="s">
        <v>398</v>
      </c>
      <c r="P67">
        <v>2200.5</v>
      </c>
    </row>
    <row r="68" spans="2:16" ht="18.75" customHeight="1" x14ac:dyDescent="0.25">
      <c r="B68" s="42" t="s">
        <v>98</v>
      </c>
      <c r="C68" s="43">
        <v>0.1</v>
      </c>
      <c r="D68" s="44" t="s">
        <v>99</v>
      </c>
      <c r="E68" s="68">
        <v>2.92</v>
      </c>
      <c r="F68" s="46">
        <v>21</v>
      </c>
      <c r="G68" s="46">
        <f t="shared" si="13"/>
        <v>7.77</v>
      </c>
      <c r="H68" s="47">
        <f t="shared" si="14"/>
        <v>0.62419562419562413</v>
      </c>
      <c r="I68" s="48">
        <f t="shared" si="9"/>
        <v>7.3</v>
      </c>
      <c r="J68" s="48">
        <f t="shared" si="10"/>
        <v>11.68</v>
      </c>
      <c r="O68" t="s">
        <v>191</v>
      </c>
      <c r="P68">
        <v>2681.5</v>
      </c>
    </row>
    <row r="69" spans="2:16" ht="18.75" customHeight="1" x14ac:dyDescent="0.25">
      <c r="B69" s="42" t="s">
        <v>100</v>
      </c>
      <c r="C69" s="43">
        <v>0.1</v>
      </c>
      <c r="D69" s="44" t="s">
        <v>101</v>
      </c>
      <c r="E69" s="68">
        <v>2.19</v>
      </c>
      <c r="F69" s="46">
        <v>16</v>
      </c>
      <c r="G69" s="46">
        <f t="shared" si="13"/>
        <v>5.92</v>
      </c>
      <c r="H69" s="47">
        <f t="shared" si="14"/>
        <v>0.63006756756756754</v>
      </c>
      <c r="I69" s="48">
        <f t="shared" si="9"/>
        <v>5.4749999999999996</v>
      </c>
      <c r="J69" s="48">
        <f t="shared" si="10"/>
        <v>8.76</v>
      </c>
      <c r="O69" t="s">
        <v>399</v>
      </c>
      <c r="P69">
        <v>3076.5</v>
      </c>
    </row>
    <row r="70" spans="2:16" ht="18.75" customHeight="1" x14ac:dyDescent="0.25">
      <c r="B70" s="393"/>
      <c r="C70" s="393"/>
      <c r="D70" s="393"/>
      <c r="E70" s="393"/>
      <c r="F70" s="393"/>
      <c r="G70" s="393"/>
      <c r="H70" s="41"/>
      <c r="I70" s="48">
        <f t="shared" si="9"/>
        <v>0</v>
      </c>
      <c r="J70" s="48">
        <f t="shared" si="10"/>
        <v>0</v>
      </c>
      <c r="O70" t="s">
        <v>156</v>
      </c>
      <c r="P70">
        <v>8102.5</v>
      </c>
    </row>
    <row r="71" spans="2:16" ht="18.75" customHeight="1" x14ac:dyDescent="0.25">
      <c r="B71" s="408" t="s">
        <v>102</v>
      </c>
      <c r="C71" s="408"/>
      <c r="D71" s="408"/>
      <c r="E71" s="408"/>
      <c r="F71" s="408"/>
      <c r="G71" s="408"/>
      <c r="H71" s="78"/>
      <c r="I71" s="48">
        <f t="shared" si="9"/>
        <v>0</v>
      </c>
      <c r="J71" s="48">
        <f t="shared" si="10"/>
        <v>0</v>
      </c>
      <c r="O71" t="s">
        <v>158</v>
      </c>
      <c r="P71">
        <v>5163</v>
      </c>
    </row>
    <row r="72" spans="2:16" ht="18.75" customHeight="1" x14ac:dyDescent="0.25">
      <c r="B72" s="398" t="s">
        <v>103</v>
      </c>
      <c r="C72" s="398"/>
      <c r="D72" s="398"/>
      <c r="E72" s="398"/>
      <c r="F72" s="398"/>
      <c r="G72" s="398"/>
      <c r="H72" s="47"/>
      <c r="I72" s="48">
        <f t="shared" si="9"/>
        <v>0</v>
      </c>
      <c r="J72" s="48">
        <f t="shared" si="10"/>
        <v>0</v>
      </c>
      <c r="O72" t="s">
        <v>400</v>
      </c>
      <c r="P72">
        <v>14758</v>
      </c>
    </row>
    <row r="73" spans="2:16" ht="18.75" customHeight="1" x14ac:dyDescent="0.25">
      <c r="B73" s="402" t="s">
        <v>104</v>
      </c>
      <c r="C73" s="402"/>
      <c r="D73" s="402"/>
      <c r="E73" s="402"/>
      <c r="F73" s="402"/>
      <c r="G73" s="402"/>
      <c r="H73" s="47"/>
      <c r="I73" s="48">
        <f t="shared" si="9"/>
        <v>0</v>
      </c>
      <c r="J73" s="48">
        <f t="shared" si="10"/>
        <v>0</v>
      </c>
      <c r="O73" t="s">
        <v>279</v>
      </c>
      <c r="P73">
        <v>298</v>
      </c>
    </row>
    <row r="74" spans="2:16" ht="18.75" customHeight="1" x14ac:dyDescent="0.25">
      <c r="B74" s="42" t="s">
        <v>401</v>
      </c>
      <c r="C74" s="43">
        <v>170</v>
      </c>
      <c r="D74" s="52" t="s">
        <v>106</v>
      </c>
      <c r="E74" s="45">
        <v>3997.8517700000002</v>
      </c>
      <c r="F74" s="46">
        <v>53893</v>
      </c>
      <c r="G74" s="46">
        <f t="shared" ref="G74:G79" si="15">F74*$G$5</f>
        <v>19940.41</v>
      </c>
      <c r="H74" s="47">
        <f t="shared" ref="H74:H79" si="16">((G74-E74)/G74)</f>
        <v>0.79951005169903722</v>
      </c>
      <c r="I74" s="48">
        <f t="shared" si="9"/>
        <v>9994.629425000001</v>
      </c>
      <c r="J74" s="48">
        <f t="shared" si="10"/>
        <v>15991.407080000001</v>
      </c>
      <c r="M74">
        <v>1</v>
      </c>
      <c r="N74" s="169">
        <f>M74*G74</f>
        <v>19940.41</v>
      </c>
      <c r="O74" t="s">
        <v>285</v>
      </c>
      <c r="P74">
        <v>83</v>
      </c>
    </row>
    <row r="75" spans="2:16" ht="18.75" customHeight="1" x14ac:dyDescent="0.25">
      <c r="B75" s="147" t="s">
        <v>402</v>
      </c>
      <c r="C75" s="148">
        <v>170</v>
      </c>
      <c r="D75" s="153" t="s">
        <v>403</v>
      </c>
      <c r="E75" s="150">
        <v>4005.19796</v>
      </c>
      <c r="F75" s="151">
        <v>53891</v>
      </c>
      <c r="G75" s="151">
        <f t="shared" si="15"/>
        <v>19939.669999999998</v>
      </c>
      <c r="H75" s="47">
        <f t="shared" si="16"/>
        <v>0.79913419028499466</v>
      </c>
      <c r="I75" s="152">
        <f t="shared" ref="I75:I106" si="17">(5*E75)/2</f>
        <v>10012.9949</v>
      </c>
      <c r="J75" s="152">
        <f t="shared" ref="J75:J106" si="18">(4*E75)</f>
        <v>16020.79184</v>
      </c>
      <c r="K75" s="144" t="s">
        <v>346</v>
      </c>
      <c r="O75" t="s">
        <v>287</v>
      </c>
      <c r="P75">
        <v>396.5</v>
      </c>
    </row>
    <row r="76" spans="2:16" ht="18.75" customHeight="1" x14ac:dyDescent="0.25">
      <c r="B76" s="147" t="s">
        <v>404</v>
      </c>
      <c r="C76" s="148">
        <v>170</v>
      </c>
      <c r="D76" s="153" t="s">
        <v>405</v>
      </c>
      <c r="E76" s="150">
        <v>4000.9637299999999</v>
      </c>
      <c r="F76" s="151">
        <v>53893</v>
      </c>
      <c r="G76" s="151">
        <f t="shared" si="15"/>
        <v>19940.41</v>
      </c>
      <c r="H76" s="47">
        <f t="shared" si="16"/>
        <v>0.79935398870935959</v>
      </c>
      <c r="I76" s="152">
        <f t="shared" si="17"/>
        <v>10002.409325000001</v>
      </c>
      <c r="J76" s="152">
        <f t="shared" si="18"/>
        <v>16003.85492</v>
      </c>
      <c r="K76" s="144" t="s">
        <v>346</v>
      </c>
      <c r="O76" t="s">
        <v>406</v>
      </c>
      <c r="P76">
        <v>5101</v>
      </c>
    </row>
    <row r="77" spans="2:16" ht="18.75" customHeight="1" x14ac:dyDescent="0.25">
      <c r="B77" s="42" t="s">
        <v>407</v>
      </c>
      <c r="C77" s="43">
        <v>170</v>
      </c>
      <c r="D77" s="44" t="s">
        <v>108</v>
      </c>
      <c r="E77" s="45">
        <v>4014.8948599999999</v>
      </c>
      <c r="F77" s="46">
        <v>53891</v>
      </c>
      <c r="G77" s="46">
        <f t="shared" si="15"/>
        <v>19939.669999999998</v>
      </c>
      <c r="H77" s="47">
        <f t="shared" si="16"/>
        <v>0.7986478783249672</v>
      </c>
      <c r="I77" s="48">
        <f t="shared" si="17"/>
        <v>10037.237149999999</v>
      </c>
      <c r="J77" s="48">
        <f t="shared" si="18"/>
        <v>16059.57944</v>
      </c>
      <c r="O77" t="s">
        <v>299</v>
      </c>
      <c r="P77">
        <v>690.5</v>
      </c>
    </row>
    <row r="78" spans="2:16" ht="18.75" customHeight="1" x14ac:dyDescent="0.25">
      <c r="B78" s="147" t="s">
        <v>408</v>
      </c>
      <c r="C78" s="148">
        <v>170</v>
      </c>
      <c r="D78" s="153" t="s">
        <v>409</v>
      </c>
      <c r="E78" s="150">
        <v>4019.1290899999999</v>
      </c>
      <c r="F78" s="151">
        <v>53891</v>
      </c>
      <c r="G78" s="151">
        <f t="shared" si="15"/>
        <v>19939.669999999998</v>
      </c>
      <c r="H78" s="47">
        <f t="shared" si="16"/>
        <v>0.79843552626497827</v>
      </c>
      <c r="I78" s="152">
        <f t="shared" si="17"/>
        <v>10047.822725</v>
      </c>
      <c r="J78" s="152">
        <f t="shared" si="18"/>
        <v>16076.51636</v>
      </c>
      <c r="K78" s="144" t="s">
        <v>346</v>
      </c>
      <c r="O78" t="s">
        <v>283</v>
      </c>
      <c r="P78">
        <v>150.5</v>
      </c>
    </row>
    <row r="79" spans="2:16" ht="18.75" customHeight="1" x14ac:dyDescent="0.25">
      <c r="B79" s="147" t="s">
        <v>410</v>
      </c>
      <c r="C79" s="148">
        <v>170</v>
      </c>
      <c r="D79" s="153" t="s">
        <v>411</v>
      </c>
      <c r="E79" s="150">
        <v>4014.8948599999999</v>
      </c>
      <c r="F79" s="151">
        <v>53894.5</v>
      </c>
      <c r="G79" s="151">
        <f t="shared" si="15"/>
        <v>19940.965</v>
      </c>
      <c r="H79" s="47">
        <f t="shared" si="16"/>
        <v>0.79866095447236374</v>
      </c>
      <c r="I79" s="152">
        <f t="shared" si="17"/>
        <v>10037.237149999999</v>
      </c>
      <c r="J79" s="152">
        <f t="shared" si="18"/>
        <v>16059.57944</v>
      </c>
      <c r="K79" s="144" t="s">
        <v>346</v>
      </c>
      <c r="O79" t="s">
        <v>293</v>
      </c>
      <c r="P79">
        <v>5101</v>
      </c>
    </row>
    <row r="80" spans="2:16" ht="18.75" customHeight="1" x14ac:dyDescent="0.25">
      <c r="B80" s="401" t="s">
        <v>109</v>
      </c>
      <c r="C80" s="401"/>
      <c r="D80" s="401"/>
      <c r="E80" s="401"/>
      <c r="F80" s="401"/>
      <c r="G80" s="401"/>
      <c r="H80" s="78"/>
      <c r="I80" s="48">
        <f t="shared" si="17"/>
        <v>0</v>
      </c>
      <c r="J80" s="48">
        <f t="shared" si="18"/>
        <v>0</v>
      </c>
      <c r="O80" t="s">
        <v>412</v>
      </c>
      <c r="P80">
        <v>8102.5</v>
      </c>
    </row>
    <row r="81" spans="2:16" ht="18.75" customHeight="1" x14ac:dyDescent="0.25">
      <c r="B81" s="42" t="s">
        <v>413</v>
      </c>
      <c r="C81" s="43">
        <v>180</v>
      </c>
      <c r="D81" s="44" t="s">
        <v>111</v>
      </c>
      <c r="E81" s="45">
        <v>4207.9386199999999</v>
      </c>
      <c r="F81" s="46">
        <v>54648</v>
      </c>
      <c r="G81" s="46">
        <f t="shared" ref="G81:G86" si="19">F81*$G$5</f>
        <v>20219.759999999998</v>
      </c>
      <c r="H81" s="47">
        <f t="shared" ref="H81:H86" si="20">((G81-E81)/G81)</f>
        <v>0.79188978405282751</v>
      </c>
      <c r="I81" s="48">
        <f t="shared" si="17"/>
        <v>10519.84655</v>
      </c>
      <c r="J81" s="48">
        <f t="shared" si="18"/>
        <v>16831.75448</v>
      </c>
      <c r="O81" t="s">
        <v>167</v>
      </c>
      <c r="P81">
        <v>2222</v>
      </c>
    </row>
    <row r="82" spans="2:16" ht="18.75" customHeight="1" x14ac:dyDescent="0.25">
      <c r="B82" s="147" t="s">
        <v>414</v>
      </c>
      <c r="C82" s="148">
        <v>180</v>
      </c>
      <c r="D82" s="153" t="s">
        <v>415</v>
      </c>
      <c r="E82" s="150">
        <v>4077.9628400000001</v>
      </c>
      <c r="F82" s="151">
        <v>54648</v>
      </c>
      <c r="G82" s="151">
        <f t="shared" si="19"/>
        <v>20219.759999999998</v>
      </c>
      <c r="H82" s="47">
        <f t="shared" si="20"/>
        <v>0.7983179404701144</v>
      </c>
      <c r="I82" s="152">
        <f t="shared" si="17"/>
        <v>10194.9071</v>
      </c>
      <c r="J82" s="152">
        <f t="shared" si="18"/>
        <v>16311.851360000001</v>
      </c>
      <c r="K82" s="144" t="s">
        <v>346</v>
      </c>
      <c r="O82" t="s">
        <v>281</v>
      </c>
      <c r="P82">
        <v>101</v>
      </c>
    </row>
    <row r="83" spans="2:16" ht="18.75" customHeight="1" x14ac:dyDescent="0.25">
      <c r="B83" s="147" t="s">
        <v>416</v>
      </c>
      <c r="C83" s="148">
        <v>180</v>
      </c>
      <c r="D83" s="153" t="s">
        <v>417</v>
      </c>
      <c r="E83" s="150">
        <v>4207.9386199999999</v>
      </c>
      <c r="F83" s="151">
        <v>54648</v>
      </c>
      <c r="G83" s="151">
        <f t="shared" si="19"/>
        <v>20219.759999999998</v>
      </c>
      <c r="H83" s="47">
        <f t="shared" si="20"/>
        <v>0.79188978405282751</v>
      </c>
      <c r="I83" s="152">
        <f t="shared" si="17"/>
        <v>10519.84655</v>
      </c>
      <c r="J83" s="152">
        <f t="shared" si="18"/>
        <v>16831.75448</v>
      </c>
      <c r="K83" s="144" t="s">
        <v>346</v>
      </c>
      <c r="O83" t="s">
        <v>175</v>
      </c>
      <c r="P83">
        <v>119</v>
      </c>
    </row>
    <row r="84" spans="2:16" ht="18.75" customHeight="1" x14ac:dyDescent="0.25">
      <c r="B84" s="42" t="s">
        <v>418</v>
      </c>
      <c r="C84" s="43">
        <v>180</v>
      </c>
      <c r="D84" s="44" t="s">
        <v>113</v>
      </c>
      <c r="E84" s="45">
        <v>4208.4386199999999</v>
      </c>
      <c r="F84" s="46">
        <v>54648</v>
      </c>
      <c r="G84" s="46">
        <f t="shared" si="19"/>
        <v>20219.759999999998</v>
      </c>
      <c r="H84" s="47">
        <f t="shared" si="20"/>
        <v>0.79186505576722965</v>
      </c>
      <c r="I84" s="48">
        <f t="shared" si="17"/>
        <v>10521.09655</v>
      </c>
      <c r="J84" s="48">
        <f t="shared" si="18"/>
        <v>16833.75448</v>
      </c>
      <c r="O84" t="s">
        <v>173</v>
      </c>
      <c r="P84">
        <v>141</v>
      </c>
    </row>
    <row r="85" spans="2:16" ht="18.75" customHeight="1" x14ac:dyDescent="0.25">
      <c r="B85" s="147" t="s">
        <v>419</v>
      </c>
      <c r="C85" s="148">
        <v>180</v>
      </c>
      <c r="D85" s="153" t="s">
        <v>420</v>
      </c>
      <c r="E85" s="150">
        <v>4078.4628400000001</v>
      </c>
      <c r="F85" s="151">
        <v>54648</v>
      </c>
      <c r="G85" s="151">
        <f t="shared" si="19"/>
        <v>20219.759999999998</v>
      </c>
      <c r="H85" s="47">
        <f t="shared" si="20"/>
        <v>0.79829321218451654</v>
      </c>
      <c r="I85" s="152">
        <f t="shared" si="17"/>
        <v>10196.1571</v>
      </c>
      <c r="J85" s="152">
        <f t="shared" si="18"/>
        <v>16313.851360000001</v>
      </c>
      <c r="K85" s="144" t="s">
        <v>346</v>
      </c>
      <c r="O85" t="s">
        <v>163</v>
      </c>
      <c r="P85">
        <v>6029.5</v>
      </c>
    </row>
    <row r="86" spans="2:16" ht="18.75" customHeight="1" x14ac:dyDescent="0.25">
      <c r="B86" s="147" t="s">
        <v>421</v>
      </c>
      <c r="C86" s="148">
        <v>180</v>
      </c>
      <c r="D86" s="154" t="s">
        <v>422</v>
      </c>
      <c r="E86" s="150">
        <v>4208.4386199999999</v>
      </c>
      <c r="F86" s="151">
        <v>54648</v>
      </c>
      <c r="G86" s="151">
        <f t="shared" si="19"/>
        <v>20219.759999999998</v>
      </c>
      <c r="H86" s="47">
        <f t="shared" si="20"/>
        <v>0.79186505576722965</v>
      </c>
      <c r="I86" s="152">
        <f t="shared" si="17"/>
        <v>10521.09655</v>
      </c>
      <c r="J86" s="152">
        <f t="shared" si="18"/>
        <v>16833.75448</v>
      </c>
      <c r="K86" s="144" t="s">
        <v>346</v>
      </c>
      <c r="O86" t="s">
        <v>165</v>
      </c>
      <c r="P86">
        <v>1427</v>
      </c>
    </row>
    <row r="87" spans="2:16" ht="18.75" customHeight="1" x14ac:dyDescent="0.25">
      <c r="B87" s="405" t="s">
        <v>114</v>
      </c>
      <c r="C87" s="405"/>
      <c r="D87" s="405"/>
      <c r="E87" s="405"/>
      <c r="F87" s="405"/>
      <c r="G87" s="405"/>
      <c r="H87" s="51"/>
      <c r="I87" s="48">
        <f t="shared" si="17"/>
        <v>0</v>
      </c>
      <c r="J87" s="48">
        <f t="shared" si="18"/>
        <v>0</v>
      </c>
      <c r="O87" t="s">
        <v>196</v>
      </c>
      <c r="P87">
        <v>3207</v>
      </c>
    </row>
    <row r="88" spans="2:16" ht="18.75" customHeight="1" x14ac:dyDescent="0.25">
      <c r="B88" s="406"/>
      <c r="C88" s="406"/>
      <c r="D88" s="406"/>
      <c r="E88" s="406"/>
      <c r="F88" s="406"/>
      <c r="G88" s="406"/>
      <c r="H88" s="51"/>
      <c r="I88" s="48">
        <f t="shared" si="17"/>
        <v>0</v>
      </c>
      <c r="J88" s="48">
        <f t="shared" si="18"/>
        <v>0</v>
      </c>
      <c r="O88" t="s">
        <v>181</v>
      </c>
      <c r="P88">
        <v>6092.5</v>
      </c>
    </row>
    <row r="89" spans="2:16" ht="18.75" customHeight="1" x14ac:dyDescent="0.25">
      <c r="B89" s="400" t="s">
        <v>115</v>
      </c>
      <c r="C89" s="400"/>
      <c r="D89" s="400"/>
      <c r="E89" s="400"/>
      <c r="F89" s="400"/>
      <c r="G89" s="400"/>
      <c r="H89" s="47"/>
      <c r="I89" s="48">
        <f t="shared" si="17"/>
        <v>0</v>
      </c>
      <c r="J89" s="48">
        <f t="shared" si="18"/>
        <v>0</v>
      </c>
      <c r="O89" t="s">
        <v>310</v>
      </c>
      <c r="P89">
        <v>5124.5</v>
      </c>
    </row>
    <row r="90" spans="2:16" ht="18.75" customHeight="1" x14ac:dyDescent="0.25">
      <c r="B90" s="402" t="s">
        <v>104</v>
      </c>
      <c r="C90" s="402"/>
      <c r="D90" s="402"/>
      <c r="E90" s="402"/>
      <c r="F90" s="402"/>
      <c r="G90" s="402"/>
      <c r="H90" s="47"/>
      <c r="I90" s="48">
        <f t="shared" si="17"/>
        <v>0</v>
      </c>
      <c r="J90" s="48">
        <f t="shared" si="18"/>
        <v>0</v>
      </c>
      <c r="O90" t="s">
        <v>423</v>
      </c>
      <c r="P90">
        <v>17531</v>
      </c>
    </row>
    <row r="91" spans="2:16" ht="18.75" customHeight="1" x14ac:dyDescent="0.25">
      <c r="B91" s="42" t="s">
        <v>424</v>
      </c>
      <c r="C91" s="43">
        <v>130</v>
      </c>
      <c r="D91" s="52" t="s">
        <v>117</v>
      </c>
      <c r="E91" s="45">
        <v>2813.5137500000001</v>
      </c>
      <c r="F91" s="46">
        <v>40979</v>
      </c>
      <c r="G91" s="46">
        <f t="shared" ref="G91:G96" si="21">F91*$G$5</f>
        <v>15162.23</v>
      </c>
      <c r="H91" s="47">
        <f t="shared" ref="H91:H96" si="22">((G91-E91)/G91)</f>
        <v>0.81443931730358921</v>
      </c>
      <c r="I91" s="48">
        <f t="shared" si="17"/>
        <v>7033.7843750000002</v>
      </c>
      <c r="J91" s="48">
        <f t="shared" si="18"/>
        <v>11254.055</v>
      </c>
      <c r="O91" t="s">
        <v>425</v>
      </c>
      <c r="P91">
        <v>20154</v>
      </c>
    </row>
    <row r="92" spans="2:16" ht="18.75" customHeight="1" x14ac:dyDescent="0.25">
      <c r="B92" s="147" t="s">
        <v>426</v>
      </c>
      <c r="C92" s="148">
        <v>130</v>
      </c>
      <c r="D92" s="153" t="s">
        <v>427</v>
      </c>
      <c r="E92" s="150">
        <v>2815.15524</v>
      </c>
      <c r="F92" s="151">
        <v>40977.5</v>
      </c>
      <c r="G92" s="151">
        <f t="shared" si="21"/>
        <v>15161.674999999999</v>
      </c>
      <c r="H92" s="47">
        <f t="shared" si="22"/>
        <v>0.81432425902810868</v>
      </c>
      <c r="I92" s="152">
        <f t="shared" si="17"/>
        <v>7037.8881000000001</v>
      </c>
      <c r="J92" s="152">
        <f t="shared" si="18"/>
        <v>11260.62096</v>
      </c>
      <c r="K92" s="144" t="s">
        <v>346</v>
      </c>
      <c r="O92" t="s">
        <v>428</v>
      </c>
      <c r="P92">
        <v>24444</v>
      </c>
    </row>
    <row r="93" spans="2:16" ht="18.75" customHeight="1" x14ac:dyDescent="0.25">
      <c r="B93" s="147" t="s">
        <v>429</v>
      </c>
      <c r="C93" s="148">
        <v>130</v>
      </c>
      <c r="D93" s="153" t="s">
        <v>430</v>
      </c>
      <c r="E93" s="150">
        <v>2813.5137500000001</v>
      </c>
      <c r="F93" s="151">
        <v>40979</v>
      </c>
      <c r="G93" s="151">
        <f t="shared" si="21"/>
        <v>15162.23</v>
      </c>
      <c r="H93" s="47">
        <f t="shared" si="22"/>
        <v>0.81443931730358921</v>
      </c>
      <c r="I93" s="152">
        <f t="shared" si="17"/>
        <v>7033.7843750000002</v>
      </c>
      <c r="J93" s="152">
        <f t="shared" si="18"/>
        <v>11254.055</v>
      </c>
      <c r="K93" s="144" t="s">
        <v>346</v>
      </c>
      <c r="O93" t="s">
        <v>431</v>
      </c>
      <c r="P93">
        <v>4592.5</v>
      </c>
    </row>
    <row r="94" spans="2:16" ht="18.75" customHeight="1" x14ac:dyDescent="0.25">
      <c r="B94" s="42" t="s">
        <v>432</v>
      </c>
      <c r="C94" s="43">
        <v>130</v>
      </c>
      <c r="D94" s="44" t="s">
        <v>119</v>
      </c>
      <c r="E94" s="45">
        <v>3016.0932200000002</v>
      </c>
      <c r="F94" s="46">
        <v>40977.5</v>
      </c>
      <c r="G94" s="46">
        <f t="shared" si="21"/>
        <v>15161.674999999999</v>
      </c>
      <c r="H94" s="47">
        <f t="shared" si="22"/>
        <v>0.80107123916058087</v>
      </c>
      <c r="I94" s="48">
        <f t="shared" si="17"/>
        <v>7540.2330500000007</v>
      </c>
      <c r="J94" s="48">
        <f t="shared" si="18"/>
        <v>12064.372880000001</v>
      </c>
      <c r="O94" t="s">
        <v>433</v>
      </c>
      <c r="P94">
        <v>4986</v>
      </c>
    </row>
    <row r="95" spans="2:16" ht="18.75" customHeight="1" x14ac:dyDescent="0.25">
      <c r="B95" s="147" t="s">
        <v>434</v>
      </c>
      <c r="C95" s="148">
        <v>130</v>
      </c>
      <c r="D95" s="153" t="s">
        <v>435</v>
      </c>
      <c r="E95" s="150">
        <v>3017.7347100000002</v>
      </c>
      <c r="F95" s="151">
        <v>40977.5</v>
      </c>
      <c r="G95" s="151">
        <f t="shared" si="21"/>
        <v>15161.674999999999</v>
      </c>
      <c r="H95" s="47">
        <f t="shared" si="22"/>
        <v>0.80096297341817435</v>
      </c>
      <c r="I95" s="152">
        <f t="shared" si="17"/>
        <v>7544.3367750000007</v>
      </c>
      <c r="J95" s="152">
        <f t="shared" si="18"/>
        <v>12070.938840000001</v>
      </c>
      <c r="K95" s="144" t="s">
        <v>346</v>
      </c>
      <c r="O95" t="s">
        <v>436</v>
      </c>
      <c r="P95">
        <v>30715.5</v>
      </c>
    </row>
    <row r="96" spans="2:16" ht="18.75" customHeight="1" x14ac:dyDescent="0.25">
      <c r="B96" s="147" t="s">
        <v>437</v>
      </c>
      <c r="C96" s="148">
        <v>130</v>
      </c>
      <c r="D96" s="153" t="s">
        <v>438</v>
      </c>
      <c r="E96" s="150">
        <v>3016.0932200000002</v>
      </c>
      <c r="F96" s="151">
        <v>40982</v>
      </c>
      <c r="G96" s="151">
        <f t="shared" si="21"/>
        <v>15163.34</v>
      </c>
      <c r="H96" s="47">
        <f t="shared" si="22"/>
        <v>0.80109308239477584</v>
      </c>
      <c r="I96" s="152">
        <f t="shared" si="17"/>
        <v>7540.2330500000007</v>
      </c>
      <c r="J96" s="152">
        <f t="shared" si="18"/>
        <v>12064.372880000001</v>
      </c>
      <c r="K96" s="144" t="s">
        <v>346</v>
      </c>
      <c r="O96" t="s">
        <v>312</v>
      </c>
      <c r="P96">
        <v>5126.5</v>
      </c>
    </row>
    <row r="97" spans="2:16" ht="18.75" customHeight="1" x14ac:dyDescent="0.25">
      <c r="B97" s="401" t="s">
        <v>109</v>
      </c>
      <c r="C97" s="401"/>
      <c r="D97" s="401"/>
      <c r="E97" s="401"/>
      <c r="F97" s="401"/>
      <c r="G97" s="401"/>
      <c r="H97" s="47"/>
      <c r="I97" s="48">
        <f t="shared" si="17"/>
        <v>0</v>
      </c>
      <c r="J97" s="48">
        <f t="shared" si="18"/>
        <v>0</v>
      </c>
      <c r="O97" t="s">
        <v>439</v>
      </c>
      <c r="P97">
        <v>4789.5</v>
      </c>
    </row>
    <row r="98" spans="2:16" ht="18.75" customHeight="1" x14ac:dyDescent="0.25">
      <c r="B98" s="42" t="s">
        <v>440</v>
      </c>
      <c r="C98" s="43">
        <v>140</v>
      </c>
      <c r="D98" s="44" t="s">
        <v>121</v>
      </c>
      <c r="E98" s="45">
        <v>3007.0575100000001</v>
      </c>
      <c r="F98" s="46">
        <v>40979</v>
      </c>
      <c r="G98" s="46">
        <f t="shared" ref="G98:G103" si="23">F98*$G$5</f>
        <v>15162.23</v>
      </c>
      <c r="H98" s="47">
        <f t="shared" ref="H98:H103" si="24">((G98-E98)/G98)</f>
        <v>0.80167445619806577</v>
      </c>
      <c r="I98" s="48">
        <f t="shared" si="17"/>
        <v>7517.6437750000005</v>
      </c>
      <c r="J98" s="48">
        <f t="shared" si="18"/>
        <v>12028.23004</v>
      </c>
      <c r="O98" t="s">
        <v>441</v>
      </c>
      <c r="P98">
        <v>4660.5</v>
      </c>
    </row>
    <row r="99" spans="2:16" ht="18.75" customHeight="1" x14ac:dyDescent="0.25">
      <c r="B99" s="147" t="s">
        <v>442</v>
      </c>
      <c r="C99" s="148">
        <v>140</v>
      </c>
      <c r="D99" s="153" t="s">
        <v>443</v>
      </c>
      <c r="E99" s="150">
        <v>2874.4889899999998</v>
      </c>
      <c r="F99" s="151">
        <v>40977.5</v>
      </c>
      <c r="G99" s="151">
        <f t="shared" si="23"/>
        <v>15161.674999999999</v>
      </c>
      <c r="H99" s="47">
        <f t="shared" si="24"/>
        <v>0.81041085566073667</v>
      </c>
      <c r="I99" s="152">
        <f t="shared" si="17"/>
        <v>7186.2224749999996</v>
      </c>
      <c r="J99" s="152">
        <f t="shared" si="18"/>
        <v>11497.955959999999</v>
      </c>
      <c r="K99" s="144" t="s">
        <v>346</v>
      </c>
      <c r="O99" t="s">
        <v>444</v>
      </c>
      <c r="P99">
        <v>4986</v>
      </c>
    </row>
    <row r="100" spans="2:16" ht="18.75" customHeight="1" x14ac:dyDescent="0.25">
      <c r="B100" s="147" t="s">
        <v>445</v>
      </c>
      <c r="C100" s="148">
        <v>140</v>
      </c>
      <c r="D100" s="153" t="s">
        <v>446</v>
      </c>
      <c r="E100" s="150">
        <v>3007.0575100000001</v>
      </c>
      <c r="F100" s="151">
        <v>40979</v>
      </c>
      <c r="G100" s="151">
        <f t="shared" si="23"/>
        <v>15162.23</v>
      </c>
      <c r="H100" s="47">
        <f t="shared" si="24"/>
        <v>0.80167445619806577</v>
      </c>
      <c r="I100" s="152">
        <f t="shared" si="17"/>
        <v>7517.6437750000005</v>
      </c>
      <c r="J100" s="152">
        <f t="shared" si="18"/>
        <v>12028.23004</v>
      </c>
      <c r="K100" s="144" t="s">
        <v>346</v>
      </c>
      <c r="O100" t="s">
        <v>447</v>
      </c>
      <c r="P100">
        <v>5517</v>
      </c>
    </row>
    <row r="101" spans="2:16" ht="18.75" customHeight="1" x14ac:dyDescent="0.25">
      <c r="B101" s="42" t="s">
        <v>448</v>
      </c>
      <c r="C101" s="43">
        <v>140</v>
      </c>
      <c r="D101" s="44" t="s">
        <v>123</v>
      </c>
      <c r="E101" s="45">
        <v>3105.6475099999998</v>
      </c>
      <c r="F101" s="46">
        <v>40982</v>
      </c>
      <c r="G101" s="46">
        <f t="shared" si="23"/>
        <v>15163.34</v>
      </c>
      <c r="H101" s="47">
        <f t="shared" si="24"/>
        <v>0.7951871085130322</v>
      </c>
      <c r="I101" s="48">
        <f t="shared" si="17"/>
        <v>7764.118774999999</v>
      </c>
      <c r="J101" s="48">
        <f t="shared" si="18"/>
        <v>12422.590039999999</v>
      </c>
      <c r="O101" t="s">
        <v>449</v>
      </c>
      <c r="P101">
        <v>5182.5</v>
      </c>
    </row>
    <row r="102" spans="2:16" ht="18.75" customHeight="1" x14ac:dyDescent="0.25">
      <c r="B102" s="147" t="s">
        <v>450</v>
      </c>
      <c r="C102" s="148">
        <v>140</v>
      </c>
      <c r="D102" s="153" t="s">
        <v>451</v>
      </c>
      <c r="E102" s="150">
        <v>2973.07899</v>
      </c>
      <c r="F102" s="151">
        <v>40977.5</v>
      </c>
      <c r="G102" s="151">
        <f t="shared" si="23"/>
        <v>15161.674999999999</v>
      </c>
      <c r="H102" s="47">
        <f t="shared" si="24"/>
        <v>0.80390827596555126</v>
      </c>
      <c r="I102" s="152">
        <f t="shared" si="17"/>
        <v>7432.6974749999999</v>
      </c>
      <c r="J102" s="152">
        <f t="shared" si="18"/>
        <v>11892.31596</v>
      </c>
      <c r="K102" s="144" t="s">
        <v>346</v>
      </c>
      <c r="O102" t="s">
        <v>452</v>
      </c>
      <c r="P102">
        <v>5890.5</v>
      </c>
    </row>
    <row r="103" spans="2:16" ht="18.75" customHeight="1" x14ac:dyDescent="0.25">
      <c r="B103" s="147" t="s">
        <v>453</v>
      </c>
      <c r="C103" s="148">
        <v>140</v>
      </c>
      <c r="D103" s="170" t="s">
        <v>454</v>
      </c>
      <c r="E103" s="150">
        <v>3105.6475099999998</v>
      </c>
      <c r="F103" s="151">
        <v>40982</v>
      </c>
      <c r="G103" s="151">
        <f t="shared" si="23"/>
        <v>15163.34</v>
      </c>
      <c r="H103" s="47">
        <f t="shared" si="24"/>
        <v>0.7951871085130322</v>
      </c>
      <c r="I103" s="152">
        <f t="shared" si="17"/>
        <v>7764.118774999999</v>
      </c>
      <c r="J103" s="152">
        <f t="shared" si="18"/>
        <v>12422.590039999999</v>
      </c>
      <c r="K103" s="144" t="s">
        <v>346</v>
      </c>
      <c r="O103" t="s">
        <v>177</v>
      </c>
      <c r="P103">
        <v>714</v>
      </c>
    </row>
    <row r="104" spans="2:16" ht="18.75" customHeight="1" x14ac:dyDescent="0.25">
      <c r="B104" s="403" t="s">
        <v>124</v>
      </c>
      <c r="C104" s="403"/>
      <c r="D104" s="403"/>
      <c r="E104" s="403"/>
      <c r="F104" s="403"/>
      <c r="G104" s="403"/>
      <c r="H104" s="47"/>
      <c r="I104" s="48">
        <f t="shared" si="17"/>
        <v>0</v>
      </c>
      <c r="J104" s="48">
        <f t="shared" si="18"/>
        <v>0</v>
      </c>
      <c r="O104" t="s">
        <v>179</v>
      </c>
      <c r="P104">
        <v>714</v>
      </c>
    </row>
    <row r="105" spans="2:16" ht="18.75" customHeight="1" x14ac:dyDescent="0.25">
      <c r="B105" s="404"/>
      <c r="C105" s="404"/>
      <c r="D105" s="404"/>
      <c r="E105" s="404"/>
      <c r="F105" s="404"/>
      <c r="G105" s="404"/>
      <c r="H105" s="47"/>
      <c r="I105" s="48">
        <f t="shared" si="17"/>
        <v>0</v>
      </c>
      <c r="J105" s="48">
        <f t="shared" si="18"/>
        <v>0</v>
      </c>
      <c r="O105" t="s">
        <v>198</v>
      </c>
      <c r="P105">
        <v>3949.5</v>
      </c>
    </row>
    <row r="106" spans="2:16" ht="18.75" customHeight="1" x14ac:dyDescent="0.25">
      <c r="B106" s="400" t="s">
        <v>125</v>
      </c>
      <c r="C106" s="400"/>
      <c r="D106" s="400"/>
      <c r="E106" s="400"/>
      <c r="F106" s="400"/>
      <c r="G106" s="400"/>
      <c r="H106" s="47"/>
      <c r="I106" s="48">
        <f t="shared" si="17"/>
        <v>0</v>
      </c>
      <c r="J106" s="48">
        <f t="shared" si="18"/>
        <v>0</v>
      </c>
      <c r="O106" t="s">
        <v>226</v>
      </c>
      <c r="P106">
        <v>10881</v>
      </c>
    </row>
    <row r="107" spans="2:16" ht="18.75" customHeight="1" x14ac:dyDescent="0.25">
      <c r="B107" s="396" t="s">
        <v>109</v>
      </c>
      <c r="C107" s="396"/>
      <c r="D107" s="396"/>
      <c r="E107" s="396"/>
      <c r="F107" s="396"/>
      <c r="G107" s="396"/>
      <c r="H107" s="47"/>
      <c r="I107" s="48">
        <f t="shared" ref="I107:I138" si="25">(5*E107)/2</f>
        <v>0</v>
      </c>
      <c r="J107" s="48">
        <f t="shared" ref="J107:J138" si="26">(4*E107)</f>
        <v>0</v>
      </c>
      <c r="O107" t="s">
        <v>236</v>
      </c>
      <c r="P107">
        <v>20563</v>
      </c>
    </row>
    <row r="108" spans="2:16" ht="18.75" customHeight="1" x14ac:dyDescent="0.25">
      <c r="B108" s="42" t="s">
        <v>455</v>
      </c>
      <c r="C108" s="43">
        <v>150</v>
      </c>
      <c r="D108" s="118" t="s">
        <v>456</v>
      </c>
      <c r="E108" s="45">
        <v>2114.9294599999998</v>
      </c>
      <c r="F108" s="46">
        <v>30695.5</v>
      </c>
      <c r="G108" s="46">
        <f>F108*$G$5</f>
        <v>11357.334999999999</v>
      </c>
      <c r="H108" s="47">
        <f>((G108-E108)/G108)</f>
        <v>0.8137829464394597</v>
      </c>
      <c r="I108" s="48">
        <f t="shared" si="25"/>
        <v>5287.3236499999994</v>
      </c>
      <c r="J108" s="48">
        <f t="shared" si="26"/>
        <v>8459.7178399999993</v>
      </c>
      <c r="O108" t="s">
        <v>238</v>
      </c>
      <c r="P108">
        <v>22665</v>
      </c>
    </row>
    <row r="109" spans="2:16" ht="18.75" customHeight="1" x14ac:dyDescent="0.25">
      <c r="B109" s="147" t="s">
        <v>457</v>
      </c>
      <c r="C109" s="148">
        <v>150</v>
      </c>
      <c r="D109" s="171" t="s">
        <v>458</v>
      </c>
      <c r="E109" s="150">
        <v>2055.5551799999998</v>
      </c>
      <c r="F109" s="151">
        <v>30695.5</v>
      </c>
      <c r="G109" s="151">
        <f>F109*$G$5</f>
        <v>11357.334999999999</v>
      </c>
      <c r="H109" s="47">
        <f>((G109-E109)/G109)</f>
        <v>0.81901078201884514</v>
      </c>
      <c r="I109" s="152">
        <f t="shared" si="25"/>
        <v>5138.8879499999994</v>
      </c>
      <c r="J109" s="152">
        <f t="shared" si="26"/>
        <v>8222.2207199999993</v>
      </c>
      <c r="K109" s="144" t="s">
        <v>346</v>
      </c>
      <c r="O109" t="s">
        <v>228</v>
      </c>
      <c r="P109">
        <v>12403.5</v>
      </c>
    </row>
    <row r="110" spans="2:16" ht="18.75" customHeight="1" x14ac:dyDescent="0.25">
      <c r="B110" s="147" t="s">
        <v>459</v>
      </c>
      <c r="C110" s="148">
        <v>150</v>
      </c>
      <c r="D110" s="171" t="s">
        <v>460</v>
      </c>
      <c r="E110" s="150">
        <v>2045.53018</v>
      </c>
      <c r="F110" s="151">
        <v>30695.5</v>
      </c>
      <c r="G110" s="151">
        <f>F110*$G$5</f>
        <v>11357.334999999999</v>
      </c>
      <c r="H110" s="47">
        <f>((G110-E110)/G110)</f>
        <v>0.81989347148780944</v>
      </c>
      <c r="I110" s="152">
        <f t="shared" si="25"/>
        <v>5113.8254500000003</v>
      </c>
      <c r="J110" s="152">
        <f t="shared" si="26"/>
        <v>8182.1207199999999</v>
      </c>
      <c r="K110" s="144" t="s">
        <v>346</v>
      </c>
      <c r="O110" t="s">
        <v>240</v>
      </c>
      <c r="P110">
        <v>30253</v>
      </c>
    </row>
    <row r="111" spans="2:16" ht="18.75" customHeight="1" x14ac:dyDescent="0.25">
      <c r="B111" s="401" t="s">
        <v>127</v>
      </c>
      <c r="C111" s="401"/>
      <c r="D111" s="401"/>
      <c r="E111" s="401"/>
      <c r="F111" s="401"/>
      <c r="G111" s="401"/>
      <c r="H111" s="77"/>
      <c r="I111" s="48">
        <f t="shared" si="25"/>
        <v>0</v>
      </c>
      <c r="J111" s="48">
        <f t="shared" si="26"/>
        <v>0</v>
      </c>
      <c r="O111" t="s">
        <v>169</v>
      </c>
      <c r="P111">
        <v>6029.5</v>
      </c>
    </row>
    <row r="112" spans="2:16" ht="18.75" customHeight="1" x14ac:dyDescent="0.25">
      <c r="B112" s="42" t="s">
        <v>461</v>
      </c>
      <c r="C112" s="43">
        <v>150</v>
      </c>
      <c r="D112" s="44" t="s">
        <v>129</v>
      </c>
      <c r="E112" s="45">
        <v>2433.49946</v>
      </c>
      <c r="F112" s="46">
        <v>30695.5</v>
      </c>
      <c r="G112" s="46">
        <f>F112*$G$5</f>
        <v>11357.334999999999</v>
      </c>
      <c r="H112" s="47">
        <f>((G112-E112)/G112)</f>
        <v>0.78573323231198167</v>
      </c>
      <c r="I112" s="48">
        <f t="shared" si="25"/>
        <v>6083.7486499999995</v>
      </c>
      <c r="J112" s="48">
        <f t="shared" si="26"/>
        <v>9733.99784</v>
      </c>
      <c r="O112" t="s">
        <v>171</v>
      </c>
      <c r="P112">
        <v>1427</v>
      </c>
    </row>
    <row r="113" spans="2:16" ht="18.75" customHeight="1" x14ac:dyDescent="0.25">
      <c r="B113" s="147" t="s">
        <v>462</v>
      </c>
      <c r="C113" s="148">
        <v>150</v>
      </c>
      <c r="D113" s="153" t="s">
        <v>463</v>
      </c>
      <c r="E113" s="150">
        <v>2375.22336</v>
      </c>
      <c r="F113" s="151">
        <v>30695.5</v>
      </c>
      <c r="G113" s="151">
        <f>F113*$G$5</f>
        <v>11357.334999999999</v>
      </c>
      <c r="H113" s="47">
        <f>((G113-E113)/G113)</f>
        <v>0.79086437443291058</v>
      </c>
      <c r="I113" s="152">
        <f t="shared" si="25"/>
        <v>5938.0583999999999</v>
      </c>
      <c r="J113" s="152">
        <f t="shared" si="26"/>
        <v>9500.8934399999998</v>
      </c>
      <c r="K113" s="144" t="s">
        <v>346</v>
      </c>
      <c r="O113" t="s">
        <v>464</v>
      </c>
      <c r="P113">
        <v>4592.5</v>
      </c>
    </row>
    <row r="114" spans="2:16" ht="18.75" customHeight="1" x14ac:dyDescent="0.25">
      <c r="B114" s="147" t="s">
        <v>465</v>
      </c>
      <c r="C114" s="148">
        <v>150</v>
      </c>
      <c r="D114" s="154" t="s">
        <v>466</v>
      </c>
      <c r="E114" s="150">
        <v>2364.1001799999999</v>
      </c>
      <c r="F114" s="151">
        <v>30695.5</v>
      </c>
      <c r="G114" s="151">
        <f>F114*$G$5</f>
        <v>11357.334999999999</v>
      </c>
      <c r="H114" s="47">
        <f>((G114-E114)/G114)</f>
        <v>0.79184375736033152</v>
      </c>
      <c r="I114" s="152">
        <f t="shared" si="25"/>
        <v>5910.2504499999995</v>
      </c>
      <c r="J114" s="152">
        <f t="shared" si="26"/>
        <v>9456.4007199999996</v>
      </c>
      <c r="K114" s="144" t="s">
        <v>346</v>
      </c>
      <c r="O114" t="s">
        <v>467</v>
      </c>
      <c r="P114">
        <v>4986</v>
      </c>
    </row>
    <row r="115" spans="2:16" ht="18.75" customHeight="1" x14ac:dyDescent="0.25">
      <c r="B115" s="398" t="s">
        <v>130</v>
      </c>
      <c r="C115" s="398"/>
      <c r="D115" s="398"/>
      <c r="E115" s="398"/>
      <c r="F115" s="398"/>
      <c r="G115" s="398"/>
      <c r="H115" s="99"/>
      <c r="I115" s="48">
        <f t="shared" si="25"/>
        <v>0</v>
      </c>
      <c r="J115" s="48">
        <f t="shared" si="26"/>
        <v>0</v>
      </c>
      <c r="O115" t="s">
        <v>468</v>
      </c>
      <c r="P115">
        <v>4789.5</v>
      </c>
    </row>
    <row r="116" spans="2:16" ht="18.75" customHeight="1" x14ac:dyDescent="0.25">
      <c r="B116" s="42" t="s">
        <v>131</v>
      </c>
      <c r="C116" s="43">
        <v>1</v>
      </c>
      <c r="D116" s="85" t="s">
        <v>132</v>
      </c>
      <c r="E116" s="68">
        <v>125.48</v>
      </c>
      <c r="F116" s="46">
        <v>1735.5</v>
      </c>
      <c r="G116" s="46">
        <f>F116*$G$5</f>
        <v>642.13499999999999</v>
      </c>
      <c r="H116" s="47">
        <f>((G116-E116)/G116)</f>
        <v>0.80458937762308547</v>
      </c>
      <c r="I116" s="48">
        <f t="shared" si="25"/>
        <v>313.7</v>
      </c>
      <c r="J116" s="48">
        <f t="shared" si="26"/>
        <v>501.92</v>
      </c>
      <c r="O116" t="s">
        <v>469</v>
      </c>
      <c r="P116">
        <v>4660.5</v>
      </c>
    </row>
    <row r="117" spans="2:16" ht="18.75" customHeight="1" x14ac:dyDescent="0.25">
      <c r="B117" s="42" t="s">
        <v>133</v>
      </c>
      <c r="C117" s="43">
        <v>1</v>
      </c>
      <c r="D117" s="85" t="s">
        <v>134</v>
      </c>
      <c r="E117" s="68">
        <v>761.6</v>
      </c>
      <c r="F117" s="46">
        <v>4092.5</v>
      </c>
      <c r="G117" s="46">
        <f>F117*$G$5</f>
        <v>1514.2249999999999</v>
      </c>
      <c r="H117" s="47">
        <f>((G117-E117)/G117)</f>
        <v>0.49703643778170348</v>
      </c>
      <c r="I117" s="48">
        <f t="shared" si="25"/>
        <v>1904</v>
      </c>
      <c r="J117" s="48">
        <f t="shared" si="26"/>
        <v>3046.4</v>
      </c>
      <c r="O117" t="s">
        <v>470</v>
      </c>
      <c r="P117">
        <v>4986</v>
      </c>
    </row>
    <row r="118" spans="2:16" ht="18.75" customHeight="1" x14ac:dyDescent="0.25">
      <c r="B118" s="398"/>
      <c r="C118" s="398"/>
      <c r="D118" s="398"/>
      <c r="E118" s="398"/>
      <c r="F118" s="398"/>
      <c r="G118" s="398"/>
      <c r="H118" s="47"/>
      <c r="I118" s="48">
        <f t="shared" si="25"/>
        <v>0</v>
      </c>
      <c r="J118" s="48">
        <f t="shared" si="26"/>
        <v>0</v>
      </c>
      <c r="O118" t="s">
        <v>471</v>
      </c>
      <c r="P118">
        <v>5517</v>
      </c>
    </row>
    <row r="119" spans="2:16" ht="19.7" customHeight="1" x14ac:dyDescent="0.25">
      <c r="B119" s="392" t="s">
        <v>148</v>
      </c>
      <c r="C119" s="392"/>
      <c r="D119" s="392"/>
      <c r="E119" s="392"/>
      <c r="F119" s="392"/>
      <c r="G119" s="392"/>
      <c r="H119" s="47"/>
      <c r="I119" s="48">
        <f t="shared" si="25"/>
        <v>0</v>
      </c>
      <c r="J119" s="48">
        <f t="shared" si="26"/>
        <v>0</v>
      </c>
      <c r="O119" t="s">
        <v>472</v>
      </c>
      <c r="P119">
        <v>5182.5</v>
      </c>
    </row>
    <row r="120" spans="2:16" ht="18.75" customHeight="1" x14ac:dyDescent="0.25">
      <c r="B120" s="398" t="s">
        <v>149</v>
      </c>
      <c r="C120" s="398"/>
      <c r="D120" s="398"/>
      <c r="E120" s="398"/>
      <c r="F120" s="398"/>
      <c r="G120" s="398"/>
      <c r="H120" s="47"/>
      <c r="I120" s="48">
        <f t="shared" si="25"/>
        <v>0</v>
      </c>
      <c r="J120" s="48">
        <f t="shared" si="26"/>
        <v>0</v>
      </c>
      <c r="O120" t="s">
        <v>473</v>
      </c>
      <c r="P120">
        <v>5890.5</v>
      </c>
    </row>
    <row r="121" spans="2:16" ht="18.75" customHeight="1" x14ac:dyDescent="0.25">
      <c r="B121" s="42" t="s">
        <v>150</v>
      </c>
      <c r="C121" s="43">
        <v>12</v>
      </c>
      <c r="D121" s="52" t="s">
        <v>151</v>
      </c>
      <c r="E121" s="68">
        <v>288.17</v>
      </c>
      <c r="F121" s="46">
        <v>5810</v>
      </c>
      <c r="G121" s="46">
        <f>F121*$G$5</f>
        <v>2149.6999999999998</v>
      </c>
      <c r="H121" s="47">
        <f>((G121-E121)/G121)</f>
        <v>0.86594873703307429</v>
      </c>
      <c r="I121" s="48">
        <f t="shared" si="25"/>
        <v>720.42500000000007</v>
      </c>
      <c r="J121" s="48">
        <f t="shared" si="26"/>
        <v>1152.68</v>
      </c>
      <c r="O121" t="s">
        <v>232</v>
      </c>
      <c r="P121">
        <v>15158</v>
      </c>
    </row>
    <row r="122" spans="2:16" ht="18.75" customHeight="1" x14ac:dyDescent="0.25">
      <c r="B122" s="42" t="s">
        <v>152</v>
      </c>
      <c r="C122" s="43">
        <v>12</v>
      </c>
      <c r="D122" s="49" t="s">
        <v>153</v>
      </c>
      <c r="E122" s="92">
        <v>369.04</v>
      </c>
      <c r="F122" s="46">
        <v>5988</v>
      </c>
      <c r="G122" s="46">
        <f>F122*$G$5</f>
        <v>2215.56</v>
      </c>
      <c r="H122" s="47">
        <f>((G122-E122)/G122)</f>
        <v>0.83343263102782139</v>
      </c>
      <c r="I122" s="48">
        <f t="shared" si="25"/>
        <v>922.6</v>
      </c>
      <c r="J122" s="48">
        <f t="shared" si="26"/>
        <v>1476.16</v>
      </c>
      <c r="O122" t="s">
        <v>234</v>
      </c>
      <c r="P122">
        <v>18114</v>
      </c>
    </row>
    <row r="123" spans="2:16" ht="18.75" customHeight="1" x14ac:dyDescent="0.25">
      <c r="B123" s="393"/>
      <c r="C123" s="393"/>
      <c r="D123" s="393"/>
      <c r="E123" s="393"/>
      <c r="F123" s="393"/>
      <c r="G123" s="393"/>
      <c r="H123" s="47"/>
      <c r="I123" s="48">
        <f t="shared" si="25"/>
        <v>0</v>
      </c>
      <c r="J123" s="48">
        <f t="shared" si="26"/>
        <v>0</v>
      </c>
      <c r="O123" t="s">
        <v>474</v>
      </c>
      <c r="P123">
        <v>53893</v>
      </c>
    </row>
    <row r="124" spans="2:16" ht="18.75" customHeight="1" x14ac:dyDescent="0.25">
      <c r="B124" s="398" t="s">
        <v>154</v>
      </c>
      <c r="C124" s="398"/>
      <c r="D124" s="398"/>
      <c r="E124" s="398"/>
      <c r="F124" s="398"/>
      <c r="G124" s="398"/>
      <c r="H124" s="47"/>
      <c r="I124" s="48">
        <f t="shared" si="25"/>
        <v>0</v>
      </c>
      <c r="J124" s="48">
        <f t="shared" si="26"/>
        <v>0</v>
      </c>
      <c r="O124" t="s">
        <v>475</v>
      </c>
      <c r="P124">
        <v>53894.5</v>
      </c>
    </row>
    <row r="125" spans="2:16" ht="18.75" customHeight="1" x14ac:dyDescent="0.25">
      <c r="B125" s="42" t="s">
        <v>155</v>
      </c>
      <c r="C125" s="43">
        <v>320</v>
      </c>
      <c r="D125" s="52" t="s">
        <v>156</v>
      </c>
      <c r="E125" s="45">
        <v>851.09</v>
      </c>
      <c r="F125" s="46">
        <v>8102.5</v>
      </c>
      <c r="G125" s="46">
        <f>F125*$G$5</f>
        <v>2997.9250000000002</v>
      </c>
      <c r="H125" s="47">
        <f>((G125-E125)/G125)</f>
        <v>0.71610697399034329</v>
      </c>
      <c r="I125" s="48">
        <f t="shared" si="25"/>
        <v>2127.7249999999999</v>
      </c>
      <c r="J125" s="48">
        <f t="shared" si="26"/>
        <v>3404.36</v>
      </c>
      <c r="M125">
        <v>10</v>
      </c>
      <c r="N125" s="169">
        <f>M125*G125</f>
        <v>29979.25</v>
      </c>
      <c r="O125" t="s">
        <v>476</v>
      </c>
      <c r="P125">
        <v>40982</v>
      </c>
    </row>
    <row r="126" spans="2:16" ht="18.75" customHeight="1" x14ac:dyDescent="0.25">
      <c r="B126" s="393"/>
      <c r="C126" s="393"/>
      <c r="D126" s="393"/>
      <c r="E126" s="393"/>
      <c r="F126" s="393"/>
      <c r="G126" s="393"/>
      <c r="H126" s="47"/>
      <c r="I126" s="48">
        <f t="shared" si="25"/>
        <v>0</v>
      </c>
      <c r="J126" s="48">
        <f t="shared" si="26"/>
        <v>0</v>
      </c>
      <c r="O126" t="s">
        <v>477</v>
      </c>
      <c r="P126">
        <v>40979</v>
      </c>
    </row>
    <row r="127" spans="2:16" ht="18.75" customHeight="1" x14ac:dyDescent="0.25">
      <c r="B127" s="398" t="s">
        <v>161</v>
      </c>
      <c r="C127" s="398"/>
      <c r="D127" s="398"/>
      <c r="E127" s="398"/>
      <c r="F127" s="398"/>
      <c r="G127" s="398"/>
      <c r="H127" s="47"/>
      <c r="I127" s="48">
        <f t="shared" si="25"/>
        <v>0</v>
      </c>
      <c r="J127" s="48">
        <f t="shared" si="26"/>
        <v>0</v>
      </c>
      <c r="O127" t="s">
        <v>108</v>
      </c>
      <c r="P127">
        <v>53891</v>
      </c>
    </row>
    <row r="128" spans="2:16" ht="18.75" customHeight="1" x14ac:dyDescent="0.25">
      <c r="B128" s="42" t="s">
        <v>162</v>
      </c>
      <c r="C128" s="43">
        <v>5</v>
      </c>
      <c r="D128" s="44" t="s">
        <v>163</v>
      </c>
      <c r="E128" s="45">
        <v>551.34259999999995</v>
      </c>
      <c r="F128" s="46">
        <v>6029.5</v>
      </c>
      <c r="G128" s="46">
        <f t="shared" ref="G128:G135" si="27">F128*$G$5</f>
        <v>2230.915</v>
      </c>
      <c r="H128" s="47">
        <f t="shared" ref="H128:H135" si="28">((G128-E128)/G128)</f>
        <v>0.75286256984241895</v>
      </c>
      <c r="I128" s="48">
        <f t="shared" si="25"/>
        <v>1378.3564999999999</v>
      </c>
      <c r="J128" s="48">
        <f t="shared" si="26"/>
        <v>2205.3703999999998</v>
      </c>
      <c r="O128" t="s">
        <v>411</v>
      </c>
      <c r="P128">
        <v>53894.5</v>
      </c>
    </row>
    <row r="129" spans="2:16" ht="18.75" customHeight="1" x14ac:dyDescent="0.25">
      <c r="B129" s="42" t="s">
        <v>164</v>
      </c>
      <c r="C129" s="43">
        <v>2</v>
      </c>
      <c r="D129" s="44" t="s">
        <v>165</v>
      </c>
      <c r="E129" s="45">
        <v>130.0367</v>
      </c>
      <c r="F129" s="46">
        <v>1427</v>
      </c>
      <c r="G129" s="46">
        <f t="shared" si="27"/>
        <v>527.99</v>
      </c>
      <c r="H129" s="47">
        <f t="shared" si="28"/>
        <v>0.75371370669899052</v>
      </c>
      <c r="I129" s="48">
        <f t="shared" si="25"/>
        <v>325.09174999999999</v>
      </c>
      <c r="J129" s="48">
        <f t="shared" si="26"/>
        <v>520.14679999999998</v>
      </c>
      <c r="O129" t="s">
        <v>106</v>
      </c>
      <c r="P129">
        <v>53893</v>
      </c>
    </row>
    <row r="130" spans="2:16" ht="18.75" customHeight="1" x14ac:dyDescent="0.25">
      <c r="B130" s="42" t="s">
        <v>166</v>
      </c>
      <c r="C130" s="43">
        <v>2</v>
      </c>
      <c r="D130" s="52" t="s">
        <v>167</v>
      </c>
      <c r="E130" s="68">
        <v>136.3425</v>
      </c>
      <c r="F130" s="46">
        <v>2222</v>
      </c>
      <c r="G130" s="46">
        <f t="shared" si="27"/>
        <v>822.14</v>
      </c>
      <c r="H130" s="47">
        <f t="shared" si="28"/>
        <v>0.83416145668620922</v>
      </c>
      <c r="I130" s="48">
        <f t="shared" si="25"/>
        <v>340.85624999999999</v>
      </c>
      <c r="J130" s="48">
        <f t="shared" si="26"/>
        <v>545.37</v>
      </c>
      <c r="O130" t="s">
        <v>119</v>
      </c>
      <c r="P130">
        <v>40977.5</v>
      </c>
    </row>
    <row r="131" spans="2:16" ht="18.75" customHeight="1" x14ac:dyDescent="0.25">
      <c r="B131" s="42" t="s">
        <v>172</v>
      </c>
      <c r="C131" s="43">
        <v>1</v>
      </c>
      <c r="D131" s="44" t="s">
        <v>173</v>
      </c>
      <c r="E131" s="68">
        <v>8.3373000000000008</v>
      </c>
      <c r="F131" s="46">
        <v>141</v>
      </c>
      <c r="G131" s="46">
        <f t="shared" si="27"/>
        <v>52.17</v>
      </c>
      <c r="H131" s="47">
        <f t="shared" si="28"/>
        <v>0.84018976423231739</v>
      </c>
      <c r="I131" s="48">
        <f t="shared" si="25"/>
        <v>20.843250000000001</v>
      </c>
      <c r="J131" s="48">
        <f t="shared" si="26"/>
        <v>33.349200000000003</v>
      </c>
      <c r="O131" t="s">
        <v>438</v>
      </c>
      <c r="P131">
        <v>40982</v>
      </c>
    </row>
    <row r="132" spans="2:16" ht="18.75" customHeight="1" x14ac:dyDescent="0.25">
      <c r="B132" s="42" t="s">
        <v>174</v>
      </c>
      <c r="C132" s="43">
        <v>1</v>
      </c>
      <c r="D132" s="44" t="s">
        <v>175</v>
      </c>
      <c r="E132" s="68">
        <v>6.9394999999999998</v>
      </c>
      <c r="F132" s="46">
        <v>119</v>
      </c>
      <c r="G132" s="46">
        <f t="shared" si="27"/>
        <v>44.03</v>
      </c>
      <c r="H132" s="47">
        <f t="shared" si="28"/>
        <v>0.84239155121508058</v>
      </c>
      <c r="I132" s="48">
        <f t="shared" si="25"/>
        <v>17.348749999999999</v>
      </c>
      <c r="J132" s="48">
        <f t="shared" si="26"/>
        <v>27.757999999999999</v>
      </c>
      <c r="O132" t="s">
        <v>117</v>
      </c>
      <c r="P132">
        <v>40979</v>
      </c>
    </row>
    <row r="133" spans="2:16" ht="18.75" customHeight="1" x14ac:dyDescent="0.25">
      <c r="B133" s="42" t="s">
        <v>176</v>
      </c>
      <c r="C133" s="43">
        <v>1</v>
      </c>
      <c r="D133" s="44" t="s">
        <v>177</v>
      </c>
      <c r="E133" s="68">
        <v>48.146799999999999</v>
      </c>
      <c r="F133" s="46">
        <v>714</v>
      </c>
      <c r="G133" s="46">
        <f t="shared" si="27"/>
        <v>264.18</v>
      </c>
      <c r="H133" s="47">
        <f t="shared" si="28"/>
        <v>0.81775001892648957</v>
      </c>
      <c r="I133" s="48">
        <f t="shared" si="25"/>
        <v>120.36699999999999</v>
      </c>
      <c r="J133" s="48">
        <f t="shared" si="26"/>
        <v>192.5872</v>
      </c>
      <c r="O133" t="s">
        <v>430</v>
      </c>
      <c r="P133">
        <v>40979</v>
      </c>
    </row>
    <row r="134" spans="2:16" ht="18.75" customHeight="1" x14ac:dyDescent="0.25">
      <c r="B134" s="42" t="s">
        <v>178</v>
      </c>
      <c r="C134" s="43">
        <v>1</v>
      </c>
      <c r="D134" s="52" t="s">
        <v>179</v>
      </c>
      <c r="E134" s="68">
        <v>89.886799999999994</v>
      </c>
      <c r="F134" s="46">
        <v>714</v>
      </c>
      <c r="G134" s="46">
        <f t="shared" si="27"/>
        <v>264.18</v>
      </c>
      <c r="H134" s="47">
        <f t="shared" si="28"/>
        <v>0.65975168445756682</v>
      </c>
      <c r="I134" s="48">
        <f t="shared" si="25"/>
        <v>224.71699999999998</v>
      </c>
      <c r="J134" s="48">
        <f t="shared" si="26"/>
        <v>359.54719999999998</v>
      </c>
      <c r="O134" t="s">
        <v>151</v>
      </c>
      <c r="P134">
        <v>5810</v>
      </c>
    </row>
    <row r="135" spans="2:16" ht="18.75" customHeight="1" x14ac:dyDescent="0.25">
      <c r="B135" s="42" t="s">
        <v>180</v>
      </c>
      <c r="C135" s="43">
        <v>20</v>
      </c>
      <c r="D135" s="49" t="s">
        <v>181</v>
      </c>
      <c r="E135" s="92">
        <v>768.69</v>
      </c>
      <c r="F135" s="46">
        <v>6092.5</v>
      </c>
      <c r="G135" s="46">
        <f t="shared" si="27"/>
        <v>2254.2249999999999</v>
      </c>
      <c r="H135" s="47">
        <f t="shared" si="28"/>
        <v>0.65900032161829447</v>
      </c>
      <c r="I135" s="48">
        <f t="shared" si="25"/>
        <v>1921.7250000000001</v>
      </c>
      <c r="J135" s="48">
        <f t="shared" si="26"/>
        <v>3074.76</v>
      </c>
      <c r="O135" t="s">
        <v>478</v>
      </c>
      <c r="P135">
        <v>53891</v>
      </c>
    </row>
    <row r="136" spans="2:16" ht="18.75" customHeight="1" x14ac:dyDescent="0.25">
      <c r="B136" s="393"/>
      <c r="C136" s="393"/>
      <c r="D136" s="393"/>
      <c r="E136" s="393"/>
      <c r="F136" s="393"/>
      <c r="G136" s="393"/>
      <c r="H136" s="78"/>
      <c r="I136" s="48">
        <f t="shared" si="25"/>
        <v>0</v>
      </c>
      <c r="J136" s="48">
        <f t="shared" si="26"/>
        <v>0</v>
      </c>
      <c r="O136" t="s">
        <v>479</v>
      </c>
      <c r="P136">
        <v>53891</v>
      </c>
    </row>
    <row r="137" spans="2:16" ht="18.75" customHeight="1" x14ac:dyDescent="0.25">
      <c r="B137" s="398" t="s">
        <v>182</v>
      </c>
      <c r="C137" s="398"/>
      <c r="D137" s="398"/>
      <c r="E137" s="398"/>
      <c r="F137" s="398"/>
      <c r="G137" s="398"/>
      <c r="H137" s="47"/>
      <c r="I137" s="48">
        <f t="shared" si="25"/>
        <v>0</v>
      </c>
      <c r="J137" s="48">
        <f t="shared" si="26"/>
        <v>0</v>
      </c>
      <c r="O137" t="s">
        <v>480</v>
      </c>
      <c r="P137">
        <v>40977.5</v>
      </c>
    </row>
    <row r="138" spans="2:16" ht="18.75" customHeight="1" x14ac:dyDescent="0.25">
      <c r="B138" s="42" t="s">
        <v>183</v>
      </c>
      <c r="C138" s="95"/>
      <c r="D138" s="96"/>
      <c r="E138" s="97"/>
      <c r="F138" s="98" t="s">
        <v>184</v>
      </c>
      <c r="G138" s="46"/>
      <c r="H138" s="47"/>
      <c r="I138" s="48">
        <f t="shared" si="25"/>
        <v>0</v>
      </c>
      <c r="J138" s="48">
        <f t="shared" si="26"/>
        <v>0</v>
      </c>
      <c r="O138" t="s">
        <v>481</v>
      </c>
      <c r="P138">
        <v>23993.5</v>
      </c>
    </row>
    <row r="139" spans="2:16" ht="18.75" customHeight="1" x14ac:dyDescent="0.25">
      <c r="B139" s="42" t="s">
        <v>185</v>
      </c>
      <c r="C139" s="100"/>
      <c r="D139" s="49"/>
      <c r="E139" s="97"/>
      <c r="F139" s="98" t="s">
        <v>184</v>
      </c>
      <c r="G139" s="46"/>
      <c r="H139" s="47"/>
      <c r="I139" s="48">
        <f t="shared" ref="I139:I170" si="29">(5*E139)/2</f>
        <v>0</v>
      </c>
      <c r="J139" s="48">
        <f t="shared" ref="J139:J170" si="30">(4*E139)</f>
        <v>0</v>
      </c>
      <c r="O139" t="s">
        <v>482</v>
      </c>
      <c r="P139">
        <v>40977.5</v>
      </c>
    </row>
    <row r="140" spans="2:16" ht="18.75" customHeight="1" x14ac:dyDescent="0.25">
      <c r="B140" s="42" t="s">
        <v>186</v>
      </c>
      <c r="C140" s="100"/>
      <c r="D140" s="49"/>
      <c r="E140" s="97"/>
      <c r="F140" s="98" t="s">
        <v>184</v>
      </c>
      <c r="G140" s="46"/>
      <c r="H140" s="77"/>
      <c r="I140" s="48">
        <f t="shared" si="29"/>
        <v>0</v>
      </c>
      <c r="J140" s="48">
        <f t="shared" si="30"/>
        <v>0</v>
      </c>
      <c r="O140" t="s">
        <v>483</v>
      </c>
      <c r="P140">
        <v>27951</v>
      </c>
    </row>
    <row r="141" spans="2:16" ht="18.75" customHeight="1" x14ac:dyDescent="0.25">
      <c r="B141" s="393"/>
      <c r="C141" s="393"/>
      <c r="D141" s="393"/>
      <c r="E141" s="393"/>
      <c r="F141" s="393"/>
      <c r="G141" s="393"/>
      <c r="H141" s="91"/>
      <c r="I141" s="48">
        <f t="shared" si="29"/>
        <v>0</v>
      </c>
      <c r="J141" s="48">
        <f t="shared" si="30"/>
        <v>0</v>
      </c>
      <c r="O141" t="s">
        <v>484</v>
      </c>
      <c r="P141">
        <v>50125.5</v>
      </c>
    </row>
    <row r="142" spans="2:16" ht="18.75" customHeight="1" x14ac:dyDescent="0.25">
      <c r="B142" s="398" t="s">
        <v>187</v>
      </c>
      <c r="C142" s="398"/>
      <c r="D142" s="398"/>
      <c r="E142" s="398"/>
      <c r="F142" s="398"/>
      <c r="G142" s="398"/>
      <c r="H142" s="47"/>
      <c r="I142" s="48">
        <f t="shared" si="29"/>
        <v>0</v>
      </c>
      <c r="J142" s="48">
        <f t="shared" si="30"/>
        <v>0</v>
      </c>
      <c r="O142" t="s">
        <v>485</v>
      </c>
      <c r="P142">
        <v>53861.5</v>
      </c>
    </row>
    <row r="143" spans="2:16" ht="18.75" customHeight="1" x14ac:dyDescent="0.25">
      <c r="B143" s="42" t="s">
        <v>486</v>
      </c>
      <c r="C143" s="43">
        <v>5</v>
      </c>
      <c r="D143" s="52" t="s">
        <v>394</v>
      </c>
      <c r="E143" s="45">
        <v>258.22543000000002</v>
      </c>
      <c r="F143" s="46">
        <v>1761</v>
      </c>
      <c r="G143" s="46">
        <f t="shared" ref="G143:G150" si="31">F143*$G$5</f>
        <v>651.56999999999994</v>
      </c>
      <c r="H143" s="47">
        <f t="shared" ref="H143:H150" si="32">((G143-E143)/G143)</f>
        <v>0.60368735515754246</v>
      </c>
      <c r="I143" s="48">
        <f t="shared" si="29"/>
        <v>645.56357500000001</v>
      </c>
      <c r="J143" s="48">
        <f t="shared" si="30"/>
        <v>1032.9017200000001</v>
      </c>
      <c r="O143" t="s">
        <v>487</v>
      </c>
      <c r="P143">
        <v>53891</v>
      </c>
    </row>
    <row r="144" spans="2:16" ht="18.75" customHeight="1" x14ac:dyDescent="0.25">
      <c r="B144" s="42" t="s">
        <v>488</v>
      </c>
      <c r="C144" s="43">
        <v>10</v>
      </c>
      <c r="D144" s="44" t="s">
        <v>395</v>
      </c>
      <c r="E144" s="45">
        <v>297.72403000000003</v>
      </c>
      <c r="F144" s="46">
        <v>1819.5</v>
      </c>
      <c r="G144" s="46">
        <f t="shared" si="31"/>
        <v>673.21500000000003</v>
      </c>
      <c r="H144" s="47">
        <f t="shared" si="32"/>
        <v>0.557757878240978</v>
      </c>
      <c r="I144" s="48">
        <f t="shared" si="29"/>
        <v>744.3100750000001</v>
      </c>
      <c r="J144" s="48">
        <f t="shared" si="30"/>
        <v>1190.8961200000001</v>
      </c>
      <c r="O144" t="s">
        <v>489</v>
      </c>
      <c r="P144">
        <v>40955</v>
      </c>
    </row>
    <row r="145" spans="2:16" ht="18.75" customHeight="1" x14ac:dyDescent="0.25">
      <c r="B145" s="42" t="s">
        <v>490</v>
      </c>
      <c r="C145" s="43">
        <v>15</v>
      </c>
      <c r="D145" s="44" t="s">
        <v>396</v>
      </c>
      <c r="E145" s="45">
        <v>361.65037999999998</v>
      </c>
      <c r="F145" s="46">
        <v>1858.5</v>
      </c>
      <c r="G145" s="46">
        <f t="shared" si="31"/>
        <v>687.64499999999998</v>
      </c>
      <c r="H145" s="47">
        <f t="shared" si="32"/>
        <v>0.47407400620959944</v>
      </c>
      <c r="I145" s="48">
        <f t="shared" si="29"/>
        <v>904.12594999999999</v>
      </c>
      <c r="J145" s="48">
        <f t="shared" si="30"/>
        <v>1446.6015199999999</v>
      </c>
      <c r="O145" t="s">
        <v>491</v>
      </c>
      <c r="P145">
        <v>40977.5</v>
      </c>
    </row>
    <row r="146" spans="2:16" ht="18.75" customHeight="1" x14ac:dyDescent="0.25">
      <c r="B146" s="42" t="s">
        <v>492</v>
      </c>
      <c r="C146" s="43">
        <v>20</v>
      </c>
      <c r="D146" s="44" t="s">
        <v>397</v>
      </c>
      <c r="E146" s="45">
        <v>438.07533000000001</v>
      </c>
      <c r="F146" s="46">
        <v>2004</v>
      </c>
      <c r="G146" s="46">
        <f t="shared" si="31"/>
        <v>741.48</v>
      </c>
      <c r="H146" s="47">
        <f t="shared" si="32"/>
        <v>0.40918793494092898</v>
      </c>
      <c r="I146" s="48">
        <f t="shared" si="29"/>
        <v>1095.1883250000001</v>
      </c>
      <c r="J146" s="48">
        <f t="shared" si="30"/>
        <v>1752.30132</v>
      </c>
      <c r="O146" t="s">
        <v>403</v>
      </c>
      <c r="P146">
        <v>53891</v>
      </c>
    </row>
    <row r="147" spans="2:16" ht="18.75" customHeight="1" x14ac:dyDescent="0.25">
      <c r="B147" s="42" t="s">
        <v>493</v>
      </c>
      <c r="C147" s="43">
        <v>5</v>
      </c>
      <c r="D147" s="44" t="s">
        <v>189</v>
      </c>
      <c r="E147" s="45">
        <v>271.50873000000001</v>
      </c>
      <c r="F147" s="46">
        <v>1807.5</v>
      </c>
      <c r="G147" s="46">
        <f t="shared" si="31"/>
        <v>668.77499999999998</v>
      </c>
      <c r="H147" s="47">
        <f t="shared" si="32"/>
        <v>0.59402081417517094</v>
      </c>
      <c r="I147" s="48">
        <f t="shared" si="29"/>
        <v>678.77182500000004</v>
      </c>
      <c r="J147" s="48">
        <f t="shared" si="30"/>
        <v>1086.0349200000001</v>
      </c>
      <c r="O147" t="s">
        <v>409</v>
      </c>
      <c r="P147">
        <v>53891</v>
      </c>
    </row>
    <row r="148" spans="2:16" ht="18.75" customHeight="1" x14ac:dyDescent="0.25">
      <c r="B148" s="42" t="s">
        <v>494</v>
      </c>
      <c r="C148" s="43">
        <v>10</v>
      </c>
      <c r="D148" s="44" t="s">
        <v>398</v>
      </c>
      <c r="E148" s="45">
        <v>320.07814999999999</v>
      </c>
      <c r="F148" s="46">
        <v>2200.5</v>
      </c>
      <c r="G148" s="46">
        <f t="shared" si="31"/>
        <v>814.18499999999995</v>
      </c>
      <c r="H148" s="47">
        <f t="shared" si="32"/>
        <v>0.60687294656619806</v>
      </c>
      <c r="I148" s="48">
        <f t="shared" si="29"/>
        <v>800.19537500000001</v>
      </c>
      <c r="J148" s="48">
        <f t="shared" si="30"/>
        <v>1280.3126</v>
      </c>
      <c r="O148" t="s">
        <v>495</v>
      </c>
      <c r="P148">
        <v>40977.5</v>
      </c>
    </row>
    <row r="149" spans="2:16" ht="18.75" customHeight="1" x14ac:dyDescent="0.25">
      <c r="B149" s="42" t="s">
        <v>496</v>
      </c>
      <c r="C149" s="43">
        <v>15</v>
      </c>
      <c r="D149" s="44" t="s">
        <v>191</v>
      </c>
      <c r="E149" s="45">
        <v>373.78922</v>
      </c>
      <c r="F149" s="46">
        <v>2681.5</v>
      </c>
      <c r="G149" s="46">
        <f t="shared" si="31"/>
        <v>992.15499999999997</v>
      </c>
      <c r="H149" s="47">
        <f t="shared" si="32"/>
        <v>0.62325521717876742</v>
      </c>
      <c r="I149" s="48">
        <f t="shared" si="29"/>
        <v>934.47305000000006</v>
      </c>
      <c r="J149" s="48">
        <f t="shared" si="30"/>
        <v>1495.15688</v>
      </c>
      <c r="O149" t="s">
        <v>405</v>
      </c>
      <c r="P149">
        <v>53893</v>
      </c>
    </row>
    <row r="150" spans="2:16" ht="18.75" customHeight="1" x14ac:dyDescent="0.25">
      <c r="B150" s="42" t="s">
        <v>497</v>
      </c>
      <c r="C150" s="43">
        <v>50</v>
      </c>
      <c r="D150" s="49" t="s">
        <v>193</v>
      </c>
      <c r="E150" s="50">
        <v>466.21417000000002</v>
      </c>
      <c r="F150" s="46">
        <v>3075.5</v>
      </c>
      <c r="G150" s="46">
        <f t="shared" si="31"/>
        <v>1137.9349999999999</v>
      </c>
      <c r="H150" s="47">
        <f t="shared" si="32"/>
        <v>0.5902980662340116</v>
      </c>
      <c r="I150" s="48">
        <f t="shared" si="29"/>
        <v>1165.535425</v>
      </c>
      <c r="J150" s="48">
        <f t="shared" si="30"/>
        <v>1864.8566800000001</v>
      </c>
      <c r="O150" t="s">
        <v>435</v>
      </c>
      <c r="P150">
        <v>40977.5</v>
      </c>
    </row>
    <row r="151" spans="2:16" ht="18.75" customHeight="1" x14ac:dyDescent="0.25">
      <c r="B151" s="393"/>
      <c r="C151" s="393"/>
      <c r="D151" s="393"/>
      <c r="E151" s="393"/>
      <c r="F151" s="393"/>
      <c r="G151" s="393"/>
      <c r="H151" s="47"/>
      <c r="I151" s="48">
        <f t="shared" si="29"/>
        <v>0</v>
      </c>
      <c r="J151" s="48">
        <f t="shared" si="30"/>
        <v>0</v>
      </c>
      <c r="O151" t="s">
        <v>427</v>
      </c>
      <c r="P151">
        <v>40977.5</v>
      </c>
    </row>
    <row r="152" spans="2:16" ht="18.75" customHeight="1" x14ac:dyDescent="0.25">
      <c r="B152" s="398" t="s">
        <v>194</v>
      </c>
      <c r="C152" s="398"/>
      <c r="D152" s="398"/>
      <c r="E152" s="398"/>
      <c r="F152" s="398"/>
      <c r="G152" s="398"/>
      <c r="H152" s="47"/>
      <c r="I152" s="48">
        <f t="shared" si="29"/>
        <v>0</v>
      </c>
      <c r="J152" s="48">
        <f t="shared" si="30"/>
        <v>0</v>
      </c>
      <c r="O152" t="s">
        <v>113</v>
      </c>
      <c r="P152">
        <v>54648</v>
      </c>
    </row>
    <row r="153" spans="2:16" ht="18.75" customHeight="1" x14ac:dyDescent="0.25">
      <c r="B153" s="42" t="s">
        <v>195</v>
      </c>
      <c r="C153" s="43">
        <v>12</v>
      </c>
      <c r="D153" s="52" t="s">
        <v>196</v>
      </c>
      <c r="E153" s="68">
        <v>227.197</v>
      </c>
      <c r="F153" s="46">
        <v>3207</v>
      </c>
      <c r="G153" s="46">
        <f>F153*$G$5</f>
        <v>1186.5899999999999</v>
      </c>
      <c r="H153" s="47">
        <f>((G153-E153)/G153)</f>
        <v>0.8085294836464153</v>
      </c>
      <c r="I153" s="48">
        <f t="shared" si="29"/>
        <v>567.99250000000006</v>
      </c>
      <c r="J153" s="48">
        <f t="shared" si="30"/>
        <v>908.78800000000001</v>
      </c>
      <c r="O153" t="s">
        <v>422</v>
      </c>
      <c r="P153">
        <v>54648</v>
      </c>
    </row>
    <row r="154" spans="2:16" ht="18.75" customHeight="1" x14ac:dyDescent="0.25">
      <c r="B154" s="42" t="s">
        <v>197</v>
      </c>
      <c r="C154" s="43">
        <v>15</v>
      </c>
      <c r="D154" s="49" t="s">
        <v>198</v>
      </c>
      <c r="E154" s="92">
        <v>404.06700000000001</v>
      </c>
      <c r="F154" s="46">
        <v>3949.5</v>
      </c>
      <c r="G154" s="46">
        <f>F154*$G$5</f>
        <v>1461.3150000000001</v>
      </c>
      <c r="H154" s="47">
        <f>((G154-E154)/G154)</f>
        <v>0.72349082846614177</v>
      </c>
      <c r="I154" s="48">
        <f t="shared" si="29"/>
        <v>1010.1675</v>
      </c>
      <c r="J154" s="48">
        <f t="shared" si="30"/>
        <v>1616.268</v>
      </c>
      <c r="O154" t="s">
        <v>111</v>
      </c>
      <c r="P154">
        <v>54648</v>
      </c>
    </row>
    <row r="155" spans="2:16" ht="18.75" customHeight="1" x14ac:dyDescent="0.25">
      <c r="B155" s="393"/>
      <c r="C155" s="393"/>
      <c r="D155" s="393"/>
      <c r="E155" s="393"/>
      <c r="F155" s="393"/>
      <c r="G155" s="393"/>
      <c r="H155" s="47"/>
      <c r="I155" s="48">
        <f t="shared" si="29"/>
        <v>0</v>
      </c>
      <c r="J155" s="48">
        <f t="shared" si="30"/>
        <v>0</v>
      </c>
      <c r="O155" t="s">
        <v>123</v>
      </c>
      <c r="P155">
        <v>40982</v>
      </c>
    </row>
    <row r="156" spans="2:16" ht="18.75" customHeight="1" x14ac:dyDescent="0.25">
      <c r="B156" s="398" t="s">
        <v>199</v>
      </c>
      <c r="C156" s="398"/>
      <c r="D156" s="398"/>
      <c r="E156" s="398"/>
      <c r="F156" s="398"/>
      <c r="G156" s="398"/>
      <c r="H156" s="47"/>
      <c r="I156" s="48">
        <f t="shared" si="29"/>
        <v>0</v>
      </c>
      <c r="J156" s="48">
        <f t="shared" si="30"/>
        <v>0</v>
      </c>
      <c r="O156" t="s">
        <v>454</v>
      </c>
      <c r="P156">
        <v>40982</v>
      </c>
    </row>
    <row r="157" spans="2:16" ht="18.75" customHeight="1" x14ac:dyDescent="0.25">
      <c r="B157" s="42" t="s">
        <v>200</v>
      </c>
      <c r="C157" s="43">
        <v>1.2</v>
      </c>
      <c r="D157" s="52" t="s">
        <v>201</v>
      </c>
      <c r="E157" s="68">
        <v>65.25</v>
      </c>
      <c r="F157" s="46">
        <v>455</v>
      </c>
      <c r="G157" s="46">
        <f>F157*$G$5</f>
        <v>168.35</v>
      </c>
      <c r="H157" s="47">
        <f>((G157-E157)/G157)</f>
        <v>0.61241461241461237</v>
      </c>
      <c r="I157" s="48">
        <f t="shared" si="29"/>
        <v>163.125</v>
      </c>
      <c r="J157" s="48">
        <f t="shared" si="30"/>
        <v>261</v>
      </c>
      <c r="O157" t="s">
        <v>121</v>
      </c>
      <c r="P157">
        <v>40979</v>
      </c>
    </row>
    <row r="158" spans="2:16" ht="18.75" customHeight="1" x14ac:dyDescent="0.25">
      <c r="B158" s="393"/>
      <c r="C158" s="393"/>
      <c r="D158" s="393"/>
      <c r="E158" s="393"/>
      <c r="F158" s="393"/>
      <c r="G158" s="393"/>
      <c r="H158" s="91"/>
      <c r="I158" s="48">
        <f t="shared" si="29"/>
        <v>0</v>
      </c>
      <c r="J158" s="48">
        <f t="shared" si="30"/>
        <v>0</v>
      </c>
      <c r="O158" t="s">
        <v>446</v>
      </c>
      <c r="P158">
        <v>40979</v>
      </c>
    </row>
    <row r="159" spans="2:16" ht="19.7" customHeight="1" x14ac:dyDescent="0.25">
      <c r="B159" s="392" t="s">
        <v>202</v>
      </c>
      <c r="C159" s="392"/>
      <c r="D159" s="392"/>
      <c r="E159" s="392"/>
      <c r="F159" s="392"/>
      <c r="G159" s="392"/>
      <c r="H159" s="47"/>
      <c r="I159" s="48">
        <f t="shared" si="29"/>
        <v>0</v>
      </c>
      <c r="J159" s="48">
        <f t="shared" si="30"/>
        <v>0</v>
      </c>
      <c r="O159" t="s">
        <v>498</v>
      </c>
      <c r="P159">
        <v>54648</v>
      </c>
    </row>
    <row r="160" spans="2:16" ht="18.75" customHeight="1" x14ac:dyDescent="0.25">
      <c r="B160" s="395" t="s">
        <v>499</v>
      </c>
      <c r="C160" s="395"/>
      <c r="D160" s="395"/>
      <c r="E160" s="395"/>
      <c r="F160" s="395"/>
      <c r="G160" s="395"/>
      <c r="H160" s="47"/>
      <c r="I160" s="48">
        <f t="shared" si="29"/>
        <v>0</v>
      </c>
      <c r="J160" s="48">
        <f t="shared" si="30"/>
        <v>0</v>
      </c>
      <c r="O160" t="s">
        <v>500</v>
      </c>
      <c r="P160">
        <v>54648</v>
      </c>
    </row>
    <row r="161" spans="2:16" ht="18.75" customHeight="1" x14ac:dyDescent="0.25">
      <c r="B161" s="396" t="s">
        <v>204</v>
      </c>
      <c r="C161" s="396"/>
      <c r="D161" s="396"/>
      <c r="E161" s="396"/>
      <c r="F161" s="396"/>
      <c r="G161" s="396"/>
      <c r="H161" s="47"/>
      <c r="I161" s="48">
        <f t="shared" si="29"/>
        <v>0</v>
      </c>
      <c r="J161" s="48">
        <f t="shared" si="30"/>
        <v>0</v>
      </c>
      <c r="O161" t="s">
        <v>501</v>
      </c>
      <c r="P161">
        <v>23533.5</v>
      </c>
    </row>
    <row r="162" spans="2:16" ht="18.75" customHeight="1" x14ac:dyDescent="0.25">
      <c r="B162" s="147" t="s">
        <v>502</v>
      </c>
      <c r="C162" s="148">
        <v>50</v>
      </c>
      <c r="D162" s="172" t="s">
        <v>363</v>
      </c>
      <c r="E162" s="173">
        <v>911.3</v>
      </c>
      <c r="F162" s="151">
        <v>5264.5</v>
      </c>
      <c r="G162" s="151">
        <f t="shared" ref="G162:G169" si="33">F162*$G$5</f>
        <v>1947.865</v>
      </c>
      <c r="H162" s="47">
        <f t="shared" ref="H162:H169" si="34">((G162-E162)/G162)</f>
        <v>0.53215443575401788</v>
      </c>
      <c r="I162" s="152">
        <f t="shared" si="29"/>
        <v>2278.25</v>
      </c>
      <c r="J162" s="152">
        <f t="shared" si="30"/>
        <v>3645.2</v>
      </c>
      <c r="K162" s="144" t="s">
        <v>346</v>
      </c>
      <c r="O162" t="s">
        <v>503</v>
      </c>
      <c r="P162">
        <v>40977.5</v>
      </c>
    </row>
    <row r="163" spans="2:16" ht="18.75" customHeight="1" x14ac:dyDescent="0.25">
      <c r="B163" s="147" t="s">
        <v>504</v>
      </c>
      <c r="C163" s="148">
        <v>50</v>
      </c>
      <c r="D163" s="172" t="s">
        <v>353</v>
      </c>
      <c r="E163" s="173">
        <v>1166.3</v>
      </c>
      <c r="F163" s="151">
        <v>5965.5</v>
      </c>
      <c r="G163" s="151">
        <f t="shared" si="33"/>
        <v>2207.2350000000001</v>
      </c>
      <c r="H163" s="47">
        <f t="shared" si="34"/>
        <v>0.47160134738711562</v>
      </c>
      <c r="I163" s="152">
        <f t="shared" si="29"/>
        <v>2915.75</v>
      </c>
      <c r="J163" s="152">
        <f t="shared" si="30"/>
        <v>4665.2</v>
      </c>
      <c r="K163" s="144" t="s">
        <v>346</v>
      </c>
      <c r="O163" t="s">
        <v>505</v>
      </c>
      <c r="P163">
        <v>40977.5</v>
      </c>
    </row>
    <row r="164" spans="2:16" ht="18.75" customHeight="1" x14ac:dyDescent="0.25">
      <c r="B164" s="147" t="s">
        <v>506</v>
      </c>
      <c r="C164" s="148">
        <v>60</v>
      </c>
      <c r="D164" s="174" t="s">
        <v>354</v>
      </c>
      <c r="E164" s="173">
        <v>1288.74</v>
      </c>
      <c r="F164" s="151">
        <v>6721.5</v>
      </c>
      <c r="G164" s="151">
        <f t="shared" si="33"/>
        <v>2486.9549999999999</v>
      </c>
      <c r="H164" s="47">
        <f t="shared" si="34"/>
        <v>0.48180003256994997</v>
      </c>
      <c r="I164" s="152">
        <f t="shared" si="29"/>
        <v>3221.85</v>
      </c>
      <c r="J164" s="152">
        <f t="shared" si="30"/>
        <v>5154.96</v>
      </c>
      <c r="K164" s="144" t="s">
        <v>346</v>
      </c>
      <c r="O164" t="s">
        <v>456</v>
      </c>
      <c r="P164">
        <v>30695.5</v>
      </c>
    </row>
    <row r="165" spans="2:16" ht="18.75" customHeight="1" x14ac:dyDescent="0.25">
      <c r="B165" s="147" t="s">
        <v>507</v>
      </c>
      <c r="C165" s="148">
        <v>60</v>
      </c>
      <c r="D165" s="174" t="s">
        <v>372</v>
      </c>
      <c r="E165" s="173">
        <v>1534.63</v>
      </c>
      <c r="F165" s="151">
        <v>8105</v>
      </c>
      <c r="G165" s="151">
        <f t="shared" si="33"/>
        <v>2998.85</v>
      </c>
      <c r="H165" s="47">
        <f t="shared" si="34"/>
        <v>0.48826049985827896</v>
      </c>
      <c r="I165" s="152">
        <f t="shared" si="29"/>
        <v>3836.5750000000003</v>
      </c>
      <c r="J165" s="152">
        <f t="shared" si="30"/>
        <v>6138.52</v>
      </c>
      <c r="K165" s="144" t="s">
        <v>346</v>
      </c>
      <c r="O165" t="s">
        <v>508</v>
      </c>
      <c r="P165">
        <v>52681.5</v>
      </c>
    </row>
    <row r="166" spans="2:16" ht="18.75" customHeight="1" x14ac:dyDescent="0.25">
      <c r="B166" s="42" t="s">
        <v>509</v>
      </c>
      <c r="C166" s="43">
        <v>50</v>
      </c>
      <c r="D166" s="106" t="s">
        <v>206</v>
      </c>
      <c r="E166" s="105">
        <v>731.96</v>
      </c>
      <c r="F166" s="46">
        <v>5374.5</v>
      </c>
      <c r="G166" s="46">
        <f t="shared" si="33"/>
        <v>1988.5650000000001</v>
      </c>
      <c r="H166" s="47">
        <f t="shared" si="34"/>
        <v>0.63191547673825099</v>
      </c>
      <c r="I166" s="48">
        <f t="shared" si="29"/>
        <v>1829.9</v>
      </c>
      <c r="J166" s="48">
        <f t="shared" si="30"/>
        <v>2927.84</v>
      </c>
      <c r="O166" t="s">
        <v>510</v>
      </c>
      <c r="P166">
        <v>54618</v>
      </c>
    </row>
    <row r="167" spans="2:16" ht="18.75" customHeight="1" x14ac:dyDescent="0.25">
      <c r="B167" s="147" t="s">
        <v>511</v>
      </c>
      <c r="C167" s="148">
        <v>50</v>
      </c>
      <c r="D167" s="174" t="s">
        <v>368</v>
      </c>
      <c r="E167" s="173">
        <v>713.06</v>
      </c>
      <c r="F167" s="151">
        <v>6590.5</v>
      </c>
      <c r="G167" s="151">
        <f t="shared" si="33"/>
        <v>2438.4850000000001</v>
      </c>
      <c r="H167" s="47">
        <f t="shared" si="34"/>
        <v>0.70758073147876654</v>
      </c>
      <c r="I167" s="152">
        <f t="shared" si="29"/>
        <v>1782.6499999999999</v>
      </c>
      <c r="J167" s="152">
        <f t="shared" si="30"/>
        <v>2852.24</v>
      </c>
      <c r="K167" s="144" t="s">
        <v>346</v>
      </c>
      <c r="O167" t="s">
        <v>512</v>
      </c>
      <c r="P167">
        <v>54648</v>
      </c>
    </row>
    <row r="168" spans="2:16" ht="18.75" customHeight="1" x14ac:dyDescent="0.25">
      <c r="B168" s="42" t="s">
        <v>513</v>
      </c>
      <c r="C168" s="43">
        <v>60</v>
      </c>
      <c r="D168" s="106" t="s">
        <v>208</v>
      </c>
      <c r="E168" s="105">
        <v>917.25</v>
      </c>
      <c r="F168" s="46">
        <v>7471.5</v>
      </c>
      <c r="G168" s="46">
        <f t="shared" si="33"/>
        <v>2764.4549999999999</v>
      </c>
      <c r="H168" s="47">
        <f t="shared" si="34"/>
        <v>0.66819861419339432</v>
      </c>
      <c r="I168" s="48">
        <f t="shared" si="29"/>
        <v>2293.125</v>
      </c>
      <c r="J168" s="48">
        <f t="shared" si="30"/>
        <v>3669</v>
      </c>
      <c r="O168" t="s">
        <v>514</v>
      </c>
      <c r="P168">
        <v>40619.5</v>
      </c>
    </row>
    <row r="169" spans="2:16" ht="18.75" customHeight="1" x14ac:dyDescent="0.25">
      <c r="B169" s="42" t="s">
        <v>515</v>
      </c>
      <c r="C169" s="43">
        <v>70</v>
      </c>
      <c r="D169" s="108" t="s">
        <v>210</v>
      </c>
      <c r="E169" s="109">
        <v>1127.5999999999999</v>
      </c>
      <c r="F169" s="46">
        <v>9143</v>
      </c>
      <c r="G169" s="46">
        <f t="shared" si="33"/>
        <v>3382.91</v>
      </c>
      <c r="H169" s="47">
        <f t="shared" si="34"/>
        <v>0.66667750546127447</v>
      </c>
      <c r="I169" s="48">
        <f t="shared" si="29"/>
        <v>2819</v>
      </c>
      <c r="J169" s="48">
        <f t="shared" si="30"/>
        <v>4510.3999999999996</v>
      </c>
      <c r="O169" t="s">
        <v>516</v>
      </c>
      <c r="P169">
        <v>54648</v>
      </c>
    </row>
    <row r="170" spans="2:16" ht="18.75" customHeight="1" x14ac:dyDescent="0.25">
      <c r="B170" s="395" t="s">
        <v>517</v>
      </c>
      <c r="C170" s="395"/>
      <c r="D170" s="395"/>
      <c r="E170" s="395"/>
      <c r="F170" s="395"/>
      <c r="G170" s="395"/>
      <c r="H170" s="47"/>
      <c r="I170" s="48">
        <f t="shared" si="29"/>
        <v>0</v>
      </c>
      <c r="J170" s="48">
        <f t="shared" si="30"/>
        <v>0</v>
      </c>
      <c r="O170" t="s">
        <v>458</v>
      </c>
      <c r="P170">
        <v>30695.5</v>
      </c>
    </row>
    <row r="171" spans="2:16" ht="18.75" customHeight="1" x14ac:dyDescent="0.25">
      <c r="B171" s="396" t="s">
        <v>204</v>
      </c>
      <c r="C171" s="396"/>
      <c r="D171" s="396"/>
      <c r="E171" s="396"/>
      <c r="F171" s="396"/>
      <c r="G171" s="396"/>
      <c r="H171" s="47"/>
      <c r="I171" s="48">
        <f t="shared" ref="I171:I201" si="35">(5*E171)/2</f>
        <v>0</v>
      </c>
      <c r="J171" s="48">
        <f t="shared" ref="J171:J201" si="36">(4*E171)</f>
        <v>0</v>
      </c>
      <c r="O171" t="s">
        <v>415</v>
      </c>
      <c r="P171">
        <v>54648</v>
      </c>
    </row>
    <row r="172" spans="2:16" ht="18.75" customHeight="1" x14ac:dyDescent="0.25">
      <c r="B172" s="147" t="s">
        <v>518</v>
      </c>
      <c r="C172" s="148">
        <v>40</v>
      </c>
      <c r="D172" s="172" t="s">
        <v>431</v>
      </c>
      <c r="E172" s="173">
        <v>445</v>
      </c>
      <c r="F172" s="151">
        <v>4592.5</v>
      </c>
      <c r="G172" s="151">
        <f t="shared" ref="G172:G179" si="37">F172*$G$5</f>
        <v>1699.2249999999999</v>
      </c>
      <c r="H172" s="47">
        <f t="shared" ref="H172:H179" si="38">((G172-E172)/G172)</f>
        <v>0.7381159057805764</v>
      </c>
      <c r="I172" s="152">
        <f t="shared" si="35"/>
        <v>1112.5</v>
      </c>
      <c r="J172" s="152">
        <f t="shared" si="36"/>
        <v>1780</v>
      </c>
      <c r="K172" s="144" t="s">
        <v>346</v>
      </c>
      <c r="O172" t="s">
        <v>420</v>
      </c>
      <c r="P172">
        <v>54648</v>
      </c>
    </row>
    <row r="173" spans="2:16" ht="18.75" customHeight="1" x14ac:dyDescent="0.25">
      <c r="B173" s="147" t="s">
        <v>519</v>
      </c>
      <c r="C173" s="148">
        <v>40</v>
      </c>
      <c r="D173" s="153" t="s">
        <v>439</v>
      </c>
      <c r="E173" s="150">
        <v>537</v>
      </c>
      <c r="F173" s="151">
        <v>4789.5</v>
      </c>
      <c r="G173" s="151">
        <f t="shared" si="37"/>
        <v>1772.115</v>
      </c>
      <c r="H173" s="47">
        <f t="shared" si="38"/>
        <v>0.69697226195816864</v>
      </c>
      <c r="I173" s="152">
        <f t="shared" si="35"/>
        <v>1342.5</v>
      </c>
      <c r="J173" s="152">
        <f t="shared" si="36"/>
        <v>2148</v>
      </c>
      <c r="K173" s="144" t="s">
        <v>346</v>
      </c>
      <c r="O173" t="s">
        <v>520</v>
      </c>
      <c r="P173">
        <v>40977.5</v>
      </c>
    </row>
    <row r="174" spans="2:16" ht="18.75" customHeight="1" x14ac:dyDescent="0.25">
      <c r="B174" s="147" t="s">
        <v>521</v>
      </c>
      <c r="C174" s="148">
        <v>50</v>
      </c>
      <c r="D174" s="153" t="s">
        <v>444</v>
      </c>
      <c r="E174" s="150">
        <v>368</v>
      </c>
      <c r="F174" s="151">
        <v>4986</v>
      </c>
      <c r="G174" s="151">
        <f t="shared" si="37"/>
        <v>1844.82</v>
      </c>
      <c r="H174" s="47">
        <f t="shared" si="38"/>
        <v>0.80052254420485469</v>
      </c>
      <c r="I174" s="152">
        <f t="shared" si="35"/>
        <v>920</v>
      </c>
      <c r="J174" s="152">
        <f t="shared" si="36"/>
        <v>1472</v>
      </c>
      <c r="K174" s="144" t="s">
        <v>346</v>
      </c>
      <c r="O174" t="s">
        <v>522</v>
      </c>
      <c r="P174">
        <v>40977.5</v>
      </c>
    </row>
    <row r="175" spans="2:16" ht="18.75" customHeight="1" x14ac:dyDescent="0.25">
      <c r="B175" s="147" t="s">
        <v>523</v>
      </c>
      <c r="C175" s="148">
        <v>60</v>
      </c>
      <c r="D175" s="153" t="s">
        <v>449</v>
      </c>
      <c r="E175" s="150">
        <v>680</v>
      </c>
      <c r="F175" s="151">
        <v>5182.5</v>
      </c>
      <c r="G175" s="151">
        <f t="shared" si="37"/>
        <v>1917.5249999999999</v>
      </c>
      <c r="H175" s="47">
        <f t="shared" si="38"/>
        <v>0.64537620109255422</v>
      </c>
      <c r="I175" s="152">
        <f t="shared" si="35"/>
        <v>1700</v>
      </c>
      <c r="J175" s="152">
        <f t="shared" si="36"/>
        <v>2720</v>
      </c>
      <c r="K175" s="144" t="s">
        <v>346</v>
      </c>
      <c r="O175" t="s">
        <v>524</v>
      </c>
      <c r="P175">
        <v>30678</v>
      </c>
    </row>
    <row r="176" spans="2:16" ht="18.75" customHeight="1" x14ac:dyDescent="0.25">
      <c r="B176" s="147" t="s">
        <v>525</v>
      </c>
      <c r="C176" s="148">
        <v>40</v>
      </c>
      <c r="D176" s="153" t="s">
        <v>433</v>
      </c>
      <c r="E176" s="150">
        <v>475</v>
      </c>
      <c r="F176" s="151">
        <v>4986</v>
      </c>
      <c r="G176" s="151">
        <f t="shared" si="37"/>
        <v>1844.82</v>
      </c>
      <c r="H176" s="47">
        <f t="shared" si="38"/>
        <v>0.74252230569920097</v>
      </c>
      <c r="I176" s="152">
        <f t="shared" si="35"/>
        <v>1187.5</v>
      </c>
      <c r="J176" s="152">
        <f t="shared" si="36"/>
        <v>1900</v>
      </c>
      <c r="K176" s="144" t="s">
        <v>346</v>
      </c>
      <c r="O176" t="s">
        <v>526</v>
      </c>
      <c r="P176">
        <v>30695.5</v>
      </c>
    </row>
    <row r="177" spans="1:16" ht="18.75" customHeight="1" x14ac:dyDescent="0.25">
      <c r="B177" s="147" t="s">
        <v>527</v>
      </c>
      <c r="C177" s="148">
        <v>40</v>
      </c>
      <c r="D177" s="153" t="s">
        <v>441</v>
      </c>
      <c r="E177" s="150">
        <v>546</v>
      </c>
      <c r="F177" s="151">
        <v>4660.5</v>
      </c>
      <c r="G177" s="151">
        <f t="shared" si="37"/>
        <v>1724.385</v>
      </c>
      <c r="H177" s="47">
        <f t="shared" si="38"/>
        <v>0.68336537374194273</v>
      </c>
      <c r="I177" s="152">
        <f t="shared" si="35"/>
        <v>1365</v>
      </c>
      <c r="J177" s="152">
        <f t="shared" si="36"/>
        <v>2184</v>
      </c>
      <c r="K177" s="144" t="s">
        <v>346</v>
      </c>
      <c r="O177" t="s">
        <v>460</v>
      </c>
      <c r="P177">
        <v>30695.5</v>
      </c>
    </row>
    <row r="178" spans="1:16" ht="18.75" customHeight="1" x14ac:dyDescent="0.25">
      <c r="B178" s="147" t="s">
        <v>528</v>
      </c>
      <c r="C178" s="148">
        <v>50</v>
      </c>
      <c r="D178" s="153" t="s">
        <v>447</v>
      </c>
      <c r="E178" s="150">
        <v>597</v>
      </c>
      <c r="F178" s="151">
        <v>5517</v>
      </c>
      <c r="G178" s="151">
        <f t="shared" si="37"/>
        <v>2041.29</v>
      </c>
      <c r="H178" s="47">
        <f t="shared" si="38"/>
        <v>0.70753788045794574</v>
      </c>
      <c r="I178" s="152">
        <f t="shared" si="35"/>
        <v>1492.5</v>
      </c>
      <c r="J178" s="152">
        <f t="shared" si="36"/>
        <v>2388</v>
      </c>
      <c r="K178" s="144" t="s">
        <v>346</v>
      </c>
      <c r="O178" t="s">
        <v>417</v>
      </c>
      <c r="P178">
        <v>54648</v>
      </c>
    </row>
    <row r="179" spans="1:16" ht="18.75" customHeight="1" x14ac:dyDescent="0.25">
      <c r="B179" s="147" t="s">
        <v>529</v>
      </c>
      <c r="C179" s="148">
        <v>60</v>
      </c>
      <c r="D179" s="154" t="s">
        <v>452</v>
      </c>
      <c r="E179" s="155">
        <v>1099.3599999999999</v>
      </c>
      <c r="F179" s="151">
        <v>5890.5</v>
      </c>
      <c r="G179" s="151">
        <f t="shared" si="37"/>
        <v>2179.4850000000001</v>
      </c>
      <c r="H179" s="47">
        <f t="shared" si="38"/>
        <v>0.49558726029314271</v>
      </c>
      <c r="I179" s="152">
        <f t="shared" si="35"/>
        <v>2748.3999999999996</v>
      </c>
      <c r="J179" s="152">
        <f t="shared" si="36"/>
        <v>4397.4399999999996</v>
      </c>
      <c r="K179" s="144" t="s">
        <v>346</v>
      </c>
      <c r="O179" t="s">
        <v>451</v>
      </c>
      <c r="P179">
        <v>40977.5</v>
      </c>
    </row>
    <row r="180" spans="1:16" ht="18.75" customHeight="1" x14ac:dyDescent="0.25">
      <c r="B180" s="395" t="s">
        <v>530</v>
      </c>
      <c r="C180" s="395"/>
      <c r="D180" s="395"/>
      <c r="E180" s="395"/>
      <c r="F180" s="395"/>
      <c r="G180" s="395"/>
      <c r="H180" s="47"/>
      <c r="I180" s="48">
        <f t="shared" si="35"/>
        <v>0</v>
      </c>
      <c r="J180" s="48">
        <f t="shared" si="36"/>
        <v>0</v>
      </c>
      <c r="O180" t="s">
        <v>443</v>
      </c>
      <c r="P180">
        <v>40977.5</v>
      </c>
    </row>
    <row r="181" spans="1:16" ht="18.75" customHeight="1" x14ac:dyDescent="0.25">
      <c r="B181" s="396" t="s">
        <v>204</v>
      </c>
      <c r="C181" s="396"/>
      <c r="D181" s="396"/>
      <c r="E181" s="396"/>
      <c r="F181" s="396"/>
      <c r="G181" s="396"/>
      <c r="H181" s="47"/>
      <c r="I181" s="48">
        <f t="shared" si="35"/>
        <v>0</v>
      </c>
      <c r="J181" s="48">
        <f t="shared" si="36"/>
        <v>0</v>
      </c>
      <c r="O181" t="s">
        <v>153</v>
      </c>
      <c r="P181">
        <v>5988</v>
      </c>
    </row>
    <row r="182" spans="1:16" ht="18.75" customHeight="1" x14ac:dyDescent="0.25">
      <c r="A182" t="s">
        <v>337</v>
      </c>
      <c r="B182" s="175" t="s">
        <v>531</v>
      </c>
      <c r="C182" s="148"/>
      <c r="D182" s="172" t="s">
        <v>532</v>
      </c>
      <c r="E182" s="173">
        <v>117.4</v>
      </c>
      <c r="F182" s="151"/>
      <c r="G182" s="151">
        <v>0</v>
      </c>
      <c r="H182" s="47" t="e">
        <f t="shared" ref="H182:H189" si="39">((G182-E182)/G182)</f>
        <v>#DIV/0!</v>
      </c>
      <c r="I182" s="152">
        <f t="shared" si="35"/>
        <v>293.5</v>
      </c>
      <c r="J182" s="152">
        <f t="shared" si="36"/>
        <v>469.6</v>
      </c>
      <c r="K182" s="144" t="s">
        <v>346</v>
      </c>
      <c r="O182" t="s">
        <v>129</v>
      </c>
      <c r="P182">
        <v>30695.5</v>
      </c>
    </row>
    <row r="183" spans="1:16" ht="18.75" customHeight="1" x14ac:dyDescent="0.25">
      <c r="A183" t="s">
        <v>337</v>
      </c>
      <c r="B183" s="175" t="s">
        <v>533</v>
      </c>
      <c r="C183" s="148"/>
      <c r="D183" s="172" t="s">
        <v>534</v>
      </c>
      <c r="E183" s="150">
        <v>164.95</v>
      </c>
      <c r="F183" s="151"/>
      <c r="G183" s="151">
        <v>0</v>
      </c>
      <c r="H183" s="47" t="e">
        <f t="shared" si="39"/>
        <v>#DIV/0!</v>
      </c>
      <c r="I183" s="152">
        <f t="shared" si="35"/>
        <v>412.375</v>
      </c>
      <c r="J183" s="152">
        <f t="shared" si="36"/>
        <v>659.8</v>
      </c>
      <c r="K183" s="144" t="s">
        <v>346</v>
      </c>
      <c r="O183" t="s">
        <v>463</v>
      </c>
      <c r="P183">
        <v>30695.5</v>
      </c>
    </row>
    <row r="184" spans="1:16" ht="18.75" customHeight="1" x14ac:dyDescent="0.25">
      <c r="A184" t="s">
        <v>337</v>
      </c>
      <c r="B184" s="175" t="s">
        <v>535</v>
      </c>
      <c r="C184" s="148"/>
      <c r="D184" s="172" t="s">
        <v>536</v>
      </c>
      <c r="E184" s="150">
        <v>222.3</v>
      </c>
      <c r="F184" s="151"/>
      <c r="G184" s="151">
        <v>0</v>
      </c>
      <c r="H184" s="47" t="e">
        <f t="shared" si="39"/>
        <v>#DIV/0!</v>
      </c>
      <c r="I184" s="152">
        <f t="shared" si="35"/>
        <v>555.75</v>
      </c>
      <c r="J184" s="152">
        <f t="shared" si="36"/>
        <v>889.2</v>
      </c>
      <c r="K184" s="144" t="s">
        <v>346</v>
      </c>
      <c r="O184" t="s">
        <v>537</v>
      </c>
      <c r="P184">
        <v>30695.5</v>
      </c>
    </row>
    <row r="185" spans="1:16" ht="18.75" customHeight="1" x14ac:dyDescent="0.25">
      <c r="A185" t="s">
        <v>337</v>
      </c>
      <c r="B185" s="175" t="s">
        <v>538</v>
      </c>
      <c r="C185" s="148"/>
      <c r="D185" s="172" t="s">
        <v>539</v>
      </c>
      <c r="E185" s="150">
        <v>317.35000000000002</v>
      </c>
      <c r="F185" s="151"/>
      <c r="G185" s="151">
        <v>0</v>
      </c>
      <c r="H185" s="47" t="e">
        <f t="shared" si="39"/>
        <v>#DIV/0!</v>
      </c>
      <c r="I185" s="152">
        <f t="shared" si="35"/>
        <v>793.375</v>
      </c>
      <c r="J185" s="152">
        <f t="shared" si="36"/>
        <v>1269.4000000000001</v>
      </c>
      <c r="K185" s="144" t="s">
        <v>346</v>
      </c>
      <c r="O185" t="s">
        <v>540</v>
      </c>
      <c r="P185">
        <v>32215</v>
      </c>
    </row>
    <row r="186" spans="1:16" ht="18.75" customHeight="1" x14ac:dyDescent="0.25">
      <c r="A186" t="s">
        <v>337</v>
      </c>
      <c r="B186" s="176" t="s">
        <v>541</v>
      </c>
      <c r="C186" s="43"/>
      <c r="D186" s="44" t="s">
        <v>542</v>
      </c>
      <c r="E186" s="45">
        <v>124.95</v>
      </c>
      <c r="F186" s="90"/>
      <c r="G186" s="46">
        <v>0</v>
      </c>
      <c r="H186" s="47" t="e">
        <f t="shared" si="39"/>
        <v>#DIV/0!</v>
      </c>
      <c r="I186" s="48">
        <f t="shared" si="35"/>
        <v>312.375</v>
      </c>
      <c r="J186" s="48">
        <f t="shared" si="36"/>
        <v>499.8</v>
      </c>
      <c r="O186" t="s">
        <v>466</v>
      </c>
      <c r="P186">
        <v>30695.5</v>
      </c>
    </row>
    <row r="187" spans="1:16" ht="18.75" customHeight="1" x14ac:dyDescent="0.25">
      <c r="A187" t="s">
        <v>337</v>
      </c>
      <c r="B187" s="175" t="s">
        <v>543</v>
      </c>
      <c r="C187" s="148"/>
      <c r="D187" s="153" t="s">
        <v>544</v>
      </c>
      <c r="E187" s="150">
        <v>174.95</v>
      </c>
      <c r="F187" s="151"/>
      <c r="G187" s="151">
        <v>0</v>
      </c>
      <c r="H187" s="47" t="e">
        <f t="shared" si="39"/>
        <v>#DIV/0!</v>
      </c>
      <c r="I187" s="152">
        <f t="shared" si="35"/>
        <v>437.375</v>
      </c>
      <c r="J187" s="152">
        <f t="shared" si="36"/>
        <v>699.8</v>
      </c>
      <c r="K187" s="144" t="s">
        <v>346</v>
      </c>
      <c r="O187" t="s">
        <v>545</v>
      </c>
      <c r="P187">
        <v>1140</v>
      </c>
    </row>
    <row r="188" spans="1:16" ht="18.75" customHeight="1" x14ac:dyDescent="0.25">
      <c r="A188" t="s">
        <v>337</v>
      </c>
      <c r="B188" s="176" t="s">
        <v>546</v>
      </c>
      <c r="C188" s="43"/>
      <c r="D188" s="44" t="s">
        <v>547</v>
      </c>
      <c r="E188" s="45">
        <v>234.8</v>
      </c>
      <c r="F188" s="90"/>
      <c r="G188" s="46">
        <v>0</v>
      </c>
      <c r="H188" s="47" t="e">
        <f t="shared" si="39"/>
        <v>#DIV/0!</v>
      </c>
      <c r="I188" s="48">
        <f t="shared" si="35"/>
        <v>587</v>
      </c>
      <c r="J188" s="48">
        <f t="shared" si="36"/>
        <v>939.2</v>
      </c>
      <c r="O188" t="s">
        <v>548</v>
      </c>
      <c r="P188">
        <v>1104</v>
      </c>
    </row>
    <row r="189" spans="1:16" ht="18.75" customHeight="1" x14ac:dyDescent="0.25">
      <c r="A189" t="s">
        <v>337</v>
      </c>
      <c r="B189" s="176" t="s">
        <v>549</v>
      </c>
      <c r="C189" s="43"/>
      <c r="D189" s="44" t="s">
        <v>550</v>
      </c>
      <c r="E189" s="50">
        <v>334.85</v>
      </c>
      <c r="F189" s="90"/>
      <c r="G189" s="46">
        <v>0</v>
      </c>
      <c r="H189" s="47" t="e">
        <f t="shared" si="39"/>
        <v>#DIV/0!</v>
      </c>
      <c r="I189" s="48">
        <f t="shared" si="35"/>
        <v>837.125</v>
      </c>
      <c r="J189" s="48">
        <f t="shared" si="36"/>
        <v>1339.4</v>
      </c>
      <c r="O189" t="s">
        <v>551</v>
      </c>
      <c r="P189">
        <v>1043</v>
      </c>
    </row>
    <row r="190" spans="1:16" ht="18.75" customHeight="1" x14ac:dyDescent="0.25">
      <c r="B190" s="393"/>
      <c r="C190" s="393"/>
      <c r="D190" s="393"/>
      <c r="E190" s="393"/>
      <c r="F190" s="393"/>
      <c r="G190" s="393"/>
      <c r="H190" s="77"/>
      <c r="I190" s="48">
        <f t="shared" si="35"/>
        <v>0</v>
      </c>
      <c r="J190" s="48">
        <f t="shared" si="36"/>
        <v>0</v>
      </c>
      <c r="O190" t="s">
        <v>552</v>
      </c>
      <c r="P190">
        <v>1043</v>
      </c>
    </row>
    <row r="191" spans="1:16" ht="19.7" customHeight="1" x14ac:dyDescent="0.25">
      <c r="B191" s="392" t="s">
        <v>218</v>
      </c>
      <c r="C191" s="392"/>
      <c r="D191" s="392"/>
      <c r="E191" s="392"/>
      <c r="F191" s="392"/>
      <c r="G191" s="392"/>
      <c r="H191" s="91"/>
      <c r="I191" s="48">
        <f t="shared" si="35"/>
        <v>0</v>
      </c>
      <c r="J191" s="48">
        <f t="shared" si="36"/>
        <v>0</v>
      </c>
      <c r="O191" t="s">
        <v>20</v>
      </c>
      <c r="P191">
        <v>2558</v>
      </c>
    </row>
    <row r="192" spans="1:16" ht="18.75" customHeight="1" x14ac:dyDescent="0.25">
      <c r="B192" s="42" t="s">
        <v>219</v>
      </c>
      <c r="C192" s="43">
        <v>7</v>
      </c>
      <c r="D192" s="52" t="s">
        <v>220</v>
      </c>
      <c r="E192" s="45">
        <v>270.54300000000001</v>
      </c>
      <c r="F192" s="46">
        <v>1973</v>
      </c>
      <c r="G192" s="46">
        <f t="shared" ref="G192:G201" si="40">F192*$G$5</f>
        <v>730.01</v>
      </c>
      <c r="H192" s="47">
        <f t="shared" ref="H192:H201" si="41">((G192-E192)/G192)</f>
        <v>0.62939822742154217</v>
      </c>
      <c r="I192" s="48">
        <f t="shared" si="35"/>
        <v>676.35750000000007</v>
      </c>
      <c r="J192" s="48">
        <f t="shared" si="36"/>
        <v>1082.172</v>
      </c>
      <c r="O192" t="s">
        <v>359</v>
      </c>
      <c r="P192">
        <v>2966</v>
      </c>
    </row>
    <row r="193" spans="2:16" ht="17.25" customHeight="1" x14ac:dyDescent="0.25">
      <c r="B193" s="42" t="s">
        <v>221</v>
      </c>
      <c r="C193" s="43">
        <v>9</v>
      </c>
      <c r="D193" s="52" t="s">
        <v>222</v>
      </c>
      <c r="E193" s="45">
        <v>702.65773000000002</v>
      </c>
      <c r="F193" s="46">
        <v>4871</v>
      </c>
      <c r="G193" s="46">
        <f t="shared" si="40"/>
        <v>1802.27</v>
      </c>
      <c r="H193" s="47">
        <f t="shared" si="41"/>
        <v>0.61012626853912011</v>
      </c>
      <c r="I193" s="48">
        <f t="shared" si="35"/>
        <v>1756.644325</v>
      </c>
      <c r="J193" s="48">
        <f t="shared" si="36"/>
        <v>2810.6309200000001</v>
      </c>
      <c r="O193" t="s">
        <v>23</v>
      </c>
      <c r="P193">
        <v>2966</v>
      </c>
    </row>
    <row r="194" spans="2:16" ht="18.75" customHeight="1" x14ac:dyDescent="0.25">
      <c r="B194" s="42" t="s">
        <v>225</v>
      </c>
      <c r="C194" s="43">
        <v>52</v>
      </c>
      <c r="D194" s="112" t="s">
        <v>226</v>
      </c>
      <c r="E194" s="45">
        <v>1470.2704200000001</v>
      </c>
      <c r="F194" s="46">
        <v>10881</v>
      </c>
      <c r="G194" s="46">
        <f t="shared" si="40"/>
        <v>4025.97</v>
      </c>
      <c r="H194" s="47">
        <f t="shared" si="41"/>
        <v>0.63480343370665937</v>
      </c>
      <c r="I194" s="48">
        <f t="shared" si="35"/>
        <v>3675.67605</v>
      </c>
      <c r="J194" s="48">
        <f t="shared" si="36"/>
        <v>5881.0816800000002</v>
      </c>
      <c r="O194" t="s">
        <v>361</v>
      </c>
      <c r="P194">
        <v>5074</v>
      </c>
    </row>
    <row r="195" spans="2:16" ht="18.75" customHeight="1" x14ac:dyDescent="0.25">
      <c r="B195" s="42" t="s">
        <v>227</v>
      </c>
      <c r="C195" s="43">
        <v>105</v>
      </c>
      <c r="D195" s="113" t="s">
        <v>228</v>
      </c>
      <c r="E195" s="45">
        <v>1638.2704200000001</v>
      </c>
      <c r="F195" s="46">
        <v>12403.5</v>
      </c>
      <c r="G195" s="46">
        <f t="shared" si="40"/>
        <v>4589.2950000000001</v>
      </c>
      <c r="H195" s="47">
        <f t="shared" si="41"/>
        <v>0.64302351014698345</v>
      </c>
      <c r="I195" s="48">
        <f t="shared" si="35"/>
        <v>4095.67605</v>
      </c>
      <c r="J195" s="48">
        <f t="shared" si="36"/>
        <v>6553.0816800000002</v>
      </c>
      <c r="O195" t="s">
        <v>356</v>
      </c>
      <c r="P195">
        <v>1968.5</v>
      </c>
    </row>
    <row r="196" spans="2:16" ht="18.75" customHeight="1" x14ac:dyDescent="0.25">
      <c r="B196" s="42" t="s">
        <v>231</v>
      </c>
      <c r="C196" s="43">
        <v>189</v>
      </c>
      <c r="D196" s="113" t="s">
        <v>232</v>
      </c>
      <c r="E196" s="45">
        <v>2249.2704199999998</v>
      </c>
      <c r="F196" s="46">
        <v>15158</v>
      </c>
      <c r="G196" s="46">
        <f t="shared" si="40"/>
        <v>5608.46</v>
      </c>
      <c r="H196" s="47">
        <f t="shared" si="41"/>
        <v>0.5989504391579864</v>
      </c>
      <c r="I196" s="48">
        <f t="shared" si="35"/>
        <v>5623.17605</v>
      </c>
      <c r="J196" s="48">
        <f t="shared" si="36"/>
        <v>8997.0816799999993</v>
      </c>
      <c r="O196" t="s">
        <v>352</v>
      </c>
      <c r="P196">
        <v>1969.5</v>
      </c>
    </row>
    <row r="197" spans="2:16" ht="18.75" customHeight="1" x14ac:dyDescent="0.25">
      <c r="B197" s="42" t="s">
        <v>233</v>
      </c>
      <c r="C197" s="43">
        <v>249</v>
      </c>
      <c r="D197" s="113" t="s">
        <v>234</v>
      </c>
      <c r="E197" s="45">
        <v>2427.2704199999998</v>
      </c>
      <c r="F197" s="46">
        <v>18114</v>
      </c>
      <c r="G197" s="46">
        <f t="shared" si="40"/>
        <v>6702.18</v>
      </c>
      <c r="H197" s="47">
        <f t="shared" si="41"/>
        <v>0.63783867040276454</v>
      </c>
      <c r="I197" s="48">
        <f t="shared" si="35"/>
        <v>6068.17605</v>
      </c>
      <c r="J197" s="48">
        <f t="shared" si="36"/>
        <v>9709.0816799999993</v>
      </c>
      <c r="O197" t="s">
        <v>365</v>
      </c>
      <c r="P197">
        <v>2374</v>
      </c>
    </row>
    <row r="198" spans="2:16" ht="18.75" customHeight="1" x14ac:dyDescent="0.25">
      <c r="B198" s="42" t="s">
        <v>235</v>
      </c>
      <c r="C198" s="43">
        <v>353</v>
      </c>
      <c r="D198" s="113" t="s">
        <v>236</v>
      </c>
      <c r="E198" s="45">
        <v>2477.1737600000001</v>
      </c>
      <c r="F198" s="46">
        <v>20563</v>
      </c>
      <c r="G198" s="46">
        <f t="shared" si="40"/>
        <v>7608.3099999999995</v>
      </c>
      <c r="H198" s="47">
        <f t="shared" si="41"/>
        <v>0.67441208888701965</v>
      </c>
      <c r="I198" s="48">
        <f t="shared" si="35"/>
        <v>6192.9344000000001</v>
      </c>
      <c r="J198" s="48">
        <f t="shared" si="36"/>
        <v>9908.6950400000005</v>
      </c>
      <c r="O198" t="s">
        <v>371</v>
      </c>
      <c r="P198">
        <v>5074</v>
      </c>
    </row>
    <row r="199" spans="2:16" ht="18.75" customHeight="1" x14ac:dyDescent="0.25">
      <c r="B199" s="42" t="s">
        <v>237</v>
      </c>
      <c r="C199" s="43">
        <v>640</v>
      </c>
      <c r="D199" s="113" t="s">
        <v>238</v>
      </c>
      <c r="E199" s="45">
        <v>2332.1737600000001</v>
      </c>
      <c r="F199" s="46">
        <v>22665</v>
      </c>
      <c r="G199" s="46">
        <f t="shared" si="40"/>
        <v>8386.0499999999993</v>
      </c>
      <c r="H199" s="47">
        <f t="shared" si="41"/>
        <v>0.72189841939888266</v>
      </c>
      <c r="I199" s="48">
        <f t="shared" si="35"/>
        <v>5830.4344000000001</v>
      </c>
      <c r="J199" s="48">
        <f t="shared" si="36"/>
        <v>9328.6950400000005</v>
      </c>
      <c r="O199" t="s">
        <v>18</v>
      </c>
      <c r="P199">
        <v>2657.5</v>
      </c>
    </row>
    <row r="200" spans="2:16" ht="18.75" customHeight="1" x14ac:dyDescent="0.25">
      <c r="B200" s="42" t="s">
        <v>239</v>
      </c>
      <c r="C200" s="43">
        <v>1072</v>
      </c>
      <c r="D200" s="113" t="s">
        <v>240</v>
      </c>
      <c r="E200" s="45">
        <v>5046.1737599999997</v>
      </c>
      <c r="F200" s="46">
        <v>30253</v>
      </c>
      <c r="G200" s="46">
        <f t="shared" si="40"/>
        <v>11193.61</v>
      </c>
      <c r="H200" s="47">
        <f t="shared" si="41"/>
        <v>0.54919156911845246</v>
      </c>
      <c r="I200" s="48">
        <f t="shared" si="35"/>
        <v>12615.434399999998</v>
      </c>
      <c r="J200" s="48">
        <f t="shared" si="36"/>
        <v>20184.695039999999</v>
      </c>
      <c r="O200" t="s">
        <v>370</v>
      </c>
      <c r="P200">
        <v>1477.5</v>
      </c>
    </row>
    <row r="201" spans="2:16" ht="18.75" customHeight="1" x14ac:dyDescent="0.25">
      <c r="B201" s="42" t="s">
        <v>241</v>
      </c>
      <c r="C201" s="43">
        <v>5.0999999999999996</v>
      </c>
      <c r="D201" s="49" t="s">
        <v>242</v>
      </c>
      <c r="E201" s="50">
        <v>44.58</v>
      </c>
      <c r="F201" s="46">
        <v>563.5</v>
      </c>
      <c r="G201" s="46">
        <f t="shared" si="40"/>
        <v>208.495</v>
      </c>
      <c r="H201" s="47">
        <f t="shared" si="41"/>
        <v>0.78618192282788568</v>
      </c>
      <c r="I201" s="48">
        <f t="shared" si="35"/>
        <v>111.44999999999999</v>
      </c>
      <c r="J201" s="48">
        <f t="shared" si="36"/>
        <v>178.32</v>
      </c>
      <c r="O201" t="s">
        <v>367</v>
      </c>
      <c r="P201">
        <v>1477.5</v>
      </c>
    </row>
    <row r="202" spans="2:16" ht="18.75" customHeight="1" x14ac:dyDescent="0.25">
      <c r="B202" s="397" t="s">
        <v>243</v>
      </c>
      <c r="C202" s="397"/>
      <c r="D202" s="397"/>
      <c r="E202" s="397"/>
      <c r="F202" s="397"/>
      <c r="G202" s="397"/>
      <c r="I202" s="115"/>
      <c r="J202" s="115"/>
      <c r="O202" t="s">
        <v>553</v>
      </c>
      <c r="P202">
        <v>130</v>
      </c>
    </row>
    <row r="203" spans="2:16" ht="18.75" customHeight="1" x14ac:dyDescent="0.25">
      <c r="B203" s="42" t="s">
        <v>244</v>
      </c>
      <c r="C203" s="43">
        <v>1.5</v>
      </c>
      <c r="D203" s="49" t="s">
        <v>245</v>
      </c>
      <c r="E203" s="92">
        <v>142.43</v>
      </c>
      <c r="F203" s="46">
        <v>1767.5</v>
      </c>
      <c r="G203" s="46">
        <f>F203*$G$5</f>
        <v>653.97500000000002</v>
      </c>
      <c r="H203" s="47">
        <f>((G203-E203)/G203)</f>
        <v>0.78220880003058224</v>
      </c>
      <c r="I203" s="48"/>
      <c r="J203" s="48"/>
      <c r="O203" t="s">
        <v>554</v>
      </c>
      <c r="P203">
        <v>171.5</v>
      </c>
    </row>
    <row r="204" spans="2:16" ht="18.75" customHeight="1" x14ac:dyDescent="0.25">
      <c r="B204" s="42" t="s">
        <v>246</v>
      </c>
      <c r="C204" s="43">
        <v>0.4</v>
      </c>
      <c r="D204" s="49" t="s">
        <v>247</v>
      </c>
      <c r="E204" s="92">
        <v>83</v>
      </c>
      <c r="F204" s="46">
        <v>820.5</v>
      </c>
      <c r="G204" s="46">
        <f>F204*$G$5</f>
        <v>303.58499999999998</v>
      </c>
      <c r="H204" s="47">
        <f>((G204-E204)/G204)</f>
        <v>0.72660045786188376</v>
      </c>
      <c r="I204" s="48"/>
      <c r="J204" s="48"/>
      <c r="O204" t="s">
        <v>555</v>
      </c>
      <c r="P204">
        <v>298</v>
      </c>
    </row>
    <row r="205" spans="2:16" ht="18.75" customHeight="1" x14ac:dyDescent="0.25">
      <c r="B205" s="393"/>
      <c r="C205" s="393"/>
      <c r="D205" s="393"/>
      <c r="E205" s="393"/>
      <c r="F205" s="393"/>
      <c r="G205" s="393"/>
      <c r="I205" s="117"/>
      <c r="J205" s="117"/>
      <c r="O205" t="s">
        <v>556</v>
      </c>
      <c r="P205">
        <v>194.5</v>
      </c>
    </row>
    <row r="206" spans="2:16" ht="19.7" customHeight="1" x14ac:dyDescent="0.25">
      <c r="B206" s="392" t="s">
        <v>248</v>
      </c>
      <c r="C206" s="392"/>
      <c r="D206" s="392"/>
      <c r="E206" s="392"/>
      <c r="F206" s="392"/>
      <c r="G206" s="392"/>
      <c r="I206" s="91"/>
      <c r="J206" s="91"/>
      <c r="O206" t="s">
        <v>374</v>
      </c>
      <c r="P206">
        <v>1565</v>
      </c>
    </row>
    <row r="207" spans="2:16" ht="18.75" customHeight="1" x14ac:dyDescent="0.25">
      <c r="B207" s="147" t="s">
        <v>557</v>
      </c>
      <c r="C207" s="148">
        <v>0.1</v>
      </c>
      <c r="D207" s="177" t="s">
        <v>250</v>
      </c>
      <c r="E207" s="178">
        <v>2.72</v>
      </c>
      <c r="F207" s="151">
        <v>95.5</v>
      </c>
      <c r="G207" s="46">
        <f t="shared" ref="G207:G214" si="42">F207*$G$5</f>
        <v>35.335000000000001</v>
      </c>
      <c r="H207" s="47">
        <f t="shared" ref="H207:H214" si="43">((G207-E207)/G207)</f>
        <v>0.92302249893872934</v>
      </c>
      <c r="I207" s="152"/>
      <c r="J207" s="152"/>
      <c r="K207" s="144" t="s">
        <v>346</v>
      </c>
      <c r="O207" t="s">
        <v>377</v>
      </c>
      <c r="P207">
        <v>1936.5</v>
      </c>
    </row>
    <row r="208" spans="2:16" ht="18.75" customHeight="1" x14ac:dyDescent="0.25">
      <c r="B208" s="147" t="s">
        <v>558</v>
      </c>
      <c r="C208" s="148">
        <v>0.1</v>
      </c>
      <c r="D208" s="171" t="s">
        <v>252</v>
      </c>
      <c r="E208" s="178">
        <v>4.42</v>
      </c>
      <c r="F208" s="151">
        <v>95.5</v>
      </c>
      <c r="G208" s="46">
        <f t="shared" si="42"/>
        <v>35.335000000000001</v>
      </c>
      <c r="H208" s="47">
        <f t="shared" si="43"/>
        <v>0.87491156077543508</v>
      </c>
      <c r="I208" s="152"/>
      <c r="J208" s="152"/>
      <c r="K208" s="144" t="s">
        <v>346</v>
      </c>
      <c r="O208" t="s">
        <v>382</v>
      </c>
      <c r="P208">
        <v>1935.5</v>
      </c>
    </row>
    <row r="209" spans="2:16" ht="18.75" customHeight="1" x14ac:dyDescent="0.25">
      <c r="B209" s="42" t="s">
        <v>559</v>
      </c>
      <c r="C209" s="43">
        <v>0.1</v>
      </c>
      <c r="D209" s="85" t="s">
        <v>254</v>
      </c>
      <c r="E209" s="68">
        <v>12.6</v>
      </c>
      <c r="F209" s="46">
        <v>95.5</v>
      </c>
      <c r="G209" s="46">
        <f t="shared" si="42"/>
        <v>35.335000000000001</v>
      </c>
      <c r="H209" s="47">
        <f t="shared" si="43"/>
        <v>0.64341304655440779</v>
      </c>
      <c r="I209" s="48"/>
      <c r="J209" s="48"/>
      <c r="O209" t="s">
        <v>37</v>
      </c>
      <c r="P209">
        <v>1123.5</v>
      </c>
    </row>
    <row r="210" spans="2:16" ht="18.75" customHeight="1" x14ac:dyDescent="0.25">
      <c r="B210" s="42" t="s">
        <v>560</v>
      </c>
      <c r="C210" s="43">
        <v>0.1</v>
      </c>
      <c r="D210" s="85" t="s">
        <v>256</v>
      </c>
      <c r="E210" s="92">
        <v>12.6</v>
      </c>
      <c r="F210" s="46">
        <v>51.5</v>
      </c>
      <c r="G210" s="46">
        <f t="shared" si="42"/>
        <v>19.055</v>
      </c>
      <c r="H210" s="47">
        <f t="shared" si="43"/>
        <v>0.33875623196011545</v>
      </c>
      <c r="I210" s="48"/>
      <c r="J210" s="48"/>
      <c r="O210" t="s">
        <v>561</v>
      </c>
      <c r="P210">
        <v>1123.5</v>
      </c>
    </row>
    <row r="211" spans="2:16" ht="18.75" customHeight="1" x14ac:dyDescent="0.25">
      <c r="B211" s="42" t="s">
        <v>257</v>
      </c>
      <c r="C211" s="43">
        <v>0.1</v>
      </c>
      <c r="D211" s="118" t="s">
        <v>258</v>
      </c>
      <c r="E211" s="92">
        <v>5.28</v>
      </c>
      <c r="F211" s="46">
        <v>51.5</v>
      </c>
      <c r="G211" s="46">
        <f t="shared" si="42"/>
        <v>19.055</v>
      </c>
      <c r="H211" s="47">
        <f t="shared" si="43"/>
        <v>0.72290737339281019</v>
      </c>
      <c r="I211" s="48"/>
      <c r="J211" s="48"/>
      <c r="O211" t="s">
        <v>39</v>
      </c>
      <c r="P211">
        <v>2086.5</v>
      </c>
    </row>
    <row r="212" spans="2:16" ht="18.75" customHeight="1" x14ac:dyDescent="0.25">
      <c r="B212" s="42" t="s">
        <v>259</v>
      </c>
      <c r="C212" s="43">
        <v>0.1</v>
      </c>
      <c r="D212" s="120" t="s">
        <v>260</v>
      </c>
      <c r="E212" s="92">
        <v>21.8</v>
      </c>
      <c r="F212" s="46">
        <v>51.5</v>
      </c>
      <c r="G212" s="46">
        <f t="shared" si="42"/>
        <v>19.055</v>
      </c>
      <c r="H212" s="47">
        <f t="shared" si="43"/>
        <v>-0.1440566780372606</v>
      </c>
      <c r="I212" s="48"/>
      <c r="J212" s="48"/>
      <c r="O212" t="s">
        <v>386</v>
      </c>
      <c r="P212">
        <v>3383.5</v>
      </c>
    </row>
    <row r="213" spans="2:16" ht="18.75" customHeight="1" x14ac:dyDescent="0.25">
      <c r="B213" s="42" t="s">
        <v>261</v>
      </c>
      <c r="C213" s="43">
        <v>0.1</v>
      </c>
      <c r="D213" s="179" t="s">
        <v>262</v>
      </c>
      <c r="E213" s="92">
        <v>12.6</v>
      </c>
      <c r="F213" s="46">
        <v>51.5</v>
      </c>
      <c r="G213" s="46">
        <f t="shared" si="42"/>
        <v>19.055</v>
      </c>
      <c r="H213" s="47">
        <f t="shared" si="43"/>
        <v>0.33875623196011545</v>
      </c>
      <c r="I213" s="48"/>
      <c r="J213" s="48"/>
      <c r="O213" t="s">
        <v>379</v>
      </c>
      <c r="P213">
        <v>1318.5</v>
      </c>
    </row>
    <row r="214" spans="2:16" ht="18.75" customHeight="1" x14ac:dyDescent="0.25">
      <c r="B214" s="42" t="s">
        <v>263</v>
      </c>
      <c r="C214" s="43">
        <v>0.1</v>
      </c>
      <c r="D214" s="120" t="s">
        <v>264</v>
      </c>
      <c r="E214" s="92">
        <v>12.6</v>
      </c>
      <c r="F214" s="46">
        <v>51.5</v>
      </c>
      <c r="G214" s="46">
        <f t="shared" si="42"/>
        <v>19.055</v>
      </c>
      <c r="H214" s="47">
        <f t="shared" si="43"/>
        <v>0.33875623196011545</v>
      </c>
      <c r="I214" s="48"/>
      <c r="J214" s="48"/>
      <c r="O214" t="s">
        <v>384</v>
      </c>
      <c r="P214">
        <v>1318.5</v>
      </c>
    </row>
    <row r="215" spans="2:16" ht="18.75" customHeight="1" x14ac:dyDescent="0.25">
      <c r="B215" s="393"/>
      <c r="C215" s="393"/>
      <c r="D215" s="393"/>
      <c r="E215" s="393"/>
      <c r="F215" s="393"/>
      <c r="G215" s="393"/>
      <c r="I215" s="117"/>
      <c r="J215" s="117"/>
      <c r="O215" t="s">
        <v>46</v>
      </c>
      <c r="P215">
        <v>2657.5</v>
      </c>
    </row>
    <row r="216" spans="2:16" ht="19.7" customHeight="1" x14ac:dyDescent="0.25">
      <c r="B216" s="392" t="s">
        <v>265</v>
      </c>
      <c r="C216" s="392"/>
      <c r="D216" s="392"/>
      <c r="E216" s="392"/>
      <c r="F216" s="392"/>
      <c r="G216" s="392"/>
      <c r="I216" s="91"/>
      <c r="J216" s="91"/>
      <c r="O216" t="s">
        <v>562</v>
      </c>
      <c r="P216">
        <v>11457</v>
      </c>
    </row>
    <row r="217" spans="2:16" ht="18.75" customHeight="1" x14ac:dyDescent="0.25">
      <c r="B217" s="42" t="s">
        <v>266</v>
      </c>
      <c r="C217" s="43">
        <v>0.5</v>
      </c>
      <c r="D217" s="121" t="s">
        <v>267</v>
      </c>
      <c r="E217" s="122">
        <v>0.69499999999999995</v>
      </c>
      <c r="F217" s="46">
        <v>30</v>
      </c>
      <c r="G217" s="46">
        <f t="shared" ref="G217:G237" si="44">F217*$G$5</f>
        <v>11.1</v>
      </c>
      <c r="H217" s="47">
        <f t="shared" ref="H217:H237" si="45">((G217-E217)/G217)</f>
        <v>0.93738738738738736</v>
      </c>
      <c r="I217" s="48"/>
      <c r="J217" s="48"/>
      <c r="O217" t="s">
        <v>91</v>
      </c>
      <c r="P217">
        <v>353</v>
      </c>
    </row>
    <row r="218" spans="2:16" ht="18.75" customHeight="1" x14ac:dyDescent="0.25">
      <c r="B218" s="42" t="s">
        <v>268</v>
      </c>
      <c r="C218" s="43">
        <v>0.1</v>
      </c>
      <c r="D218" s="123" t="s">
        <v>269</v>
      </c>
      <c r="E218" s="122">
        <v>0.70750000000000002</v>
      </c>
      <c r="F218" s="46">
        <v>30</v>
      </c>
      <c r="G218" s="46">
        <f t="shared" si="44"/>
        <v>11.1</v>
      </c>
      <c r="H218" s="47">
        <f t="shared" si="45"/>
        <v>0.9362612612612613</v>
      </c>
      <c r="I218" s="48"/>
      <c r="J218" s="48"/>
      <c r="O218" t="s">
        <v>89</v>
      </c>
      <c r="P218">
        <v>21</v>
      </c>
    </row>
    <row r="219" spans="2:16" ht="18.75" customHeight="1" x14ac:dyDescent="0.25">
      <c r="B219" s="42" t="s">
        <v>270</v>
      </c>
      <c r="C219" s="43">
        <v>0.5</v>
      </c>
      <c r="D219" s="85" t="s">
        <v>271</v>
      </c>
      <c r="E219" s="68">
        <v>0.8</v>
      </c>
      <c r="F219" s="46">
        <v>30</v>
      </c>
      <c r="G219" s="46">
        <f t="shared" si="44"/>
        <v>11.1</v>
      </c>
      <c r="H219" s="47">
        <f t="shared" si="45"/>
        <v>0.92792792792792789</v>
      </c>
      <c r="I219" s="48"/>
      <c r="J219" s="48"/>
      <c r="O219" t="s">
        <v>93</v>
      </c>
      <c r="P219">
        <v>531</v>
      </c>
    </row>
    <row r="220" spans="2:16" ht="18.75" customHeight="1" x14ac:dyDescent="0.25">
      <c r="B220" s="42" t="s">
        <v>272</v>
      </c>
      <c r="C220" s="43">
        <v>1</v>
      </c>
      <c r="D220" s="85" t="s">
        <v>273</v>
      </c>
      <c r="E220" s="68">
        <v>8.1505299999999998</v>
      </c>
      <c r="F220" s="46">
        <v>173.5</v>
      </c>
      <c r="G220" s="46">
        <f t="shared" si="44"/>
        <v>64.194999999999993</v>
      </c>
      <c r="H220" s="47">
        <f t="shared" si="45"/>
        <v>0.8730348157956227</v>
      </c>
      <c r="I220" s="48"/>
      <c r="J220" s="48"/>
      <c r="O220" t="s">
        <v>101</v>
      </c>
      <c r="P220">
        <v>16</v>
      </c>
    </row>
    <row r="221" spans="2:16" ht="18.75" customHeight="1" x14ac:dyDescent="0.25">
      <c r="B221" s="42" t="s">
        <v>274</v>
      </c>
      <c r="C221" s="43">
        <v>1</v>
      </c>
      <c r="D221" s="85" t="s">
        <v>275</v>
      </c>
      <c r="E221" s="68">
        <v>28.98</v>
      </c>
      <c r="F221" s="46">
        <v>496</v>
      </c>
      <c r="G221" s="46">
        <f t="shared" si="44"/>
        <v>183.52</v>
      </c>
      <c r="H221" s="47">
        <f t="shared" si="45"/>
        <v>0.84208805579773327</v>
      </c>
      <c r="I221" s="48"/>
      <c r="J221" s="48"/>
      <c r="O221" t="s">
        <v>247</v>
      </c>
      <c r="P221">
        <v>820.5</v>
      </c>
    </row>
    <row r="222" spans="2:16" ht="18.75" customHeight="1" x14ac:dyDescent="0.25">
      <c r="B222" s="42" t="s">
        <v>276</v>
      </c>
      <c r="C222" s="43">
        <v>1</v>
      </c>
      <c r="D222" s="85" t="s">
        <v>277</v>
      </c>
      <c r="E222" s="68">
        <v>25.795000000000002</v>
      </c>
      <c r="F222" s="46">
        <v>455.5</v>
      </c>
      <c r="G222" s="46">
        <f t="shared" si="44"/>
        <v>168.535</v>
      </c>
      <c r="H222" s="47">
        <f t="shared" si="45"/>
        <v>0.84694573827394914</v>
      </c>
      <c r="I222" s="48"/>
      <c r="J222" s="48"/>
      <c r="O222" t="s">
        <v>563</v>
      </c>
      <c r="P222">
        <v>3383</v>
      </c>
    </row>
    <row r="223" spans="2:16" ht="18.75" customHeight="1" x14ac:dyDescent="0.25">
      <c r="B223" s="42" t="s">
        <v>278</v>
      </c>
      <c r="C223" s="43">
        <v>1</v>
      </c>
      <c r="D223" s="85" t="s">
        <v>279</v>
      </c>
      <c r="E223" s="68">
        <v>13.870799999999999</v>
      </c>
      <c r="F223" s="46">
        <v>298</v>
      </c>
      <c r="G223" s="46">
        <f t="shared" si="44"/>
        <v>110.26</v>
      </c>
      <c r="H223" s="47">
        <f t="shared" si="45"/>
        <v>0.87419916560856159</v>
      </c>
      <c r="I223" s="48"/>
      <c r="J223" s="48"/>
      <c r="O223" t="s">
        <v>564</v>
      </c>
      <c r="P223">
        <v>3383.5</v>
      </c>
    </row>
    <row r="224" spans="2:16" ht="18.75" customHeight="1" x14ac:dyDescent="0.25">
      <c r="B224" s="42" t="s">
        <v>280</v>
      </c>
      <c r="C224" s="43">
        <v>1</v>
      </c>
      <c r="D224" s="85" t="s">
        <v>281</v>
      </c>
      <c r="E224" s="68">
        <v>5.1223999999999998</v>
      </c>
      <c r="F224" s="46">
        <v>101</v>
      </c>
      <c r="G224" s="46">
        <f t="shared" si="44"/>
        <v>37.369999999999997</v>
      </c>
      <c r="H224" s="47">
        <f t="shared" si="45"/>
        <v>0.862927481937383</v>
      </c>
      <c r="I224" s="48"/>
      <c r="J224" s="48"/>
      <c r="O224" t="s">
        <v>48</v>
      </c>
      <c r="P224">
        <v>1185.5</v>
      </c>
    </row>
    <row r="225" spans="2:16" ht="18.75" customHeight="1" x14ac:dyDescent="0.25">
      <c r="B225" s="42" t="s">
        <v>282</v>
      </c>
      <c r="C225" s="43">
        <v>1</v>
      </c>
      <c r="D225" s="85" t="s">
        <v>283</v>
      </c>
      <c r="E225" s="68">
        <v>7.43</v>
      </c>
      <c r="F225" s="46">
        <v>150.5</v>
      </c>
      <c r="G225" s="46">
        <f t="shared" si="44"/>
        <v>55.685000000000002</v>
      </c>
      <c r="H225" s="47">
        <f t="shared" si="45"/>
        <v>0.86657088982670383</v>
      </c>
      <c r="I225" s="48"/>
      <c r="J225" s="48"/>
      <c r="O225" t="s">
        <v>50</v>
      </c>
      <c r="P225">
        <v>1123.5</v>
      </c>
    </row>
    <row r="226" spans="2:16" ht="18.75" customHeight="1" x14ac:dyDescent="0.25">
      <c r="B226" s="42" t="s">
        <v>284</v>
      </c>
      <c r="C226" s="43">
        <v>1</v>
      </c>
      <c r="D226" s="85" t="s">
        <v>285</v>
      </c>
      <c r="E226" s="68">
        <v>4.6900000000000004</v>
      </c>
      <c r="F226" s="46">
        <v>83</v>
      </c>
      <c r="G226" s="46">
        <f t="shared" si="44"/>
        <v>30.71</v>
      </c>
      <c r="H226" s="47">
        <f t="shared" si="45"/>
        <v>0.8472810159557147</v>
      </c>
      <c r="I226" s="48"/>
      <c r="J226" s="48"/>
      <c r="O226" t="s">
        <v>53</v>
      </c>
      <c r="P226">
        <v>2085</v>
      </c>
    </row>
    <row r="227" spans="2:16" ht="18.75" customHeight="1" x14ac:dyDescent="0.25">
      <c r="B227" s="42" t="s">
        <v>286</v>
      </c>
      <c r="C227" s="43">
        <v>1</v>
      </c>
      <c r="D227" s="85" t="s">
        <v>287</v>
      </c>
      <c r="E227" s="68">
        <v>17.98</v>
      </c>
      <c r="F227" s="46">
        <v>396.5</v>
      </c>
      <c r="G227" s="46">
        <f t="shared" si="44"/>
        <v>146.70499999999998</v>
      </c>
      <c r="H227" s="47">
        <f t="shared" si="45"/>
        <v>0.8774411233427627</v>
      </c>
      <c r="I227" s="48"/>
      <c r="J227" s="48"/>
    </row>
    <row r="228" spans="2:16" ht="18.75" customHeight="1" x14ac:dyDescent="0.25">
      <c r="B228" s="42" t="s">
        <v>288</v>
      </c>
      <c r="C228" s="43">
        <v>0.1</v>
      </c>
      <c r="D228" s="85" t="s">
        <v>289</v>
      </c>
      <c r="E228" s="68">
        <v>1.1100000000000001</v>
      </c>
      <c r="F228" s="46">
        <v>18.5</v>
      </c>
      <c r="G228" s="46">
        <f t="shared" si="44"/>
        <v>6.8449999999999998</v>
      </c>
      <c r="H228" s="47">
        <f t="shared" si="45"/>
        <v>0.83783783783783783</v>
      </c>
      <c r="I228" s="48"/>
      <c r="J228" s="48"/>
    </row>
    <row r="229" spans="2:16" ht="18.75" customHeight="1" x14ac:dyDescent="0.25">
      <c r="B229" s="42" t="s">
        <v>290</v>
      </c>
      <c r="C229" s="43">
        <v>0.1</v>
      </c>
      <c r="D229" s="85" t="s">
        <v>291</v>
      </c>
      <c r="E229" s="68">
        <v>0.58499999999999996</v>
      </c>
      <c r="F229" s="46">
        <v>9.5</v>
      </c>
      <c r="G229" s="46">
        <f t="shared" si="44"/>
        <v>3.5150000000000001</v>
      </c>
      <c r="H229" s="47">
        <f t="shared" si="45"/>
        <v>0.83357041251778097</v>
      </c>
      <c r="I229" s="48"/>
      <c r="J229" s="48"/>
    </row>
    <row r="230" spans="2:16" ht="18.75" customHeight="1" x14ac:dyDescent="0.25">
      <c r="B230" s="42" t="s">
        <v>292</v>
      </c>
      <c r="C230" s="43">
        <v>5</v>
      </c>
      <c r="D230" s="85" t="s">
        <v>293</v>
      </c>
      <c r="E230" s="68">
        <v>402.99</v>
      </c>
      <c r="F230" s="46">
        <v>5101</v>
      </c>
      <c r="G230" s="46">
        <f t="shared" si="44"/>
        <v>1887.37</v>
      </c>
      <c r="H230" s="47">
        <f t="shared" si="45"/>
        <v>0.7864806582705034</v>
      </c>
      <c r="I230" s="48"/>
      <c r="J230" s="48"/>
    </row>
    <row r="231" spans="2:16" ht="18.75" customHeight="1" x14ac:dyDescent="0.25">
      <c r="B231" s="42" t="s">
        <v>294</v>
      </c>
      <c r="C231" s="43">
        <v>1</v>
      </c>
      <c r="D231" s="85" t="s">
        <v>295</v>
      </c>
      <c r="E231" s="68">
        <v>67.183499999999995</v>
      </c>
      <c r="F231" s="46">
        <v>238</v>
      </c>
      <c r="G231" s="46">
        <f t="shared" si="44"/>
        <v>88.06</v>
      </c>
      <c r="H231" s="47">
        <f t="shared" si="45"/>
        <v>0.23707131501249157</v>
      </c>
      <c r="I231" s="48"/>
      <c r="J231" s="48"/>
    </row>
    <row r="232" spans="2:16" ht="18.75" customHeight="1" x14ac:dyDescent="0.25">
      <c r="B232" s="42" t="s">
        <v>296</v>
      </c>
      <c r="C232" s="43">
        <v>0.1</v>
      </c>
      <c r="D232" s="85" t="s">
        <v>297</v>
      </c>
      <c r="E232" s="68">
        <v>4.75</v>
      </c>
      <c r="F232" s="46">
        <v>24</v>
      </c>
      <c r="G232" s="46">
        <f t="shared" si="44"/>
        <v>8.879999999999999</v>
      </c>
      <c r="H232" s="47">
        <f t="shared" si="45"/>
        <v>0.46509009009009</v>
      </c>
      <c r="I232" s="48"/>
      <c r="J232" s="48"/>
    </row>
    <row r="233" spans="2:16" ht="18.75" customHeight="1" x14ac:dyDescent="0.25">
      <c r="B233" s="42" t="s">
        <v>298</v>
      </c>
      <c r="C233" s="43">
        <v>1</v>
      </c>
      <c r="D233" s="85" t="s">
        <v>299</v>
      </c>
      <c r="E233" s="68">
        <v>76.211699999999993</v>
      </c>
      <c r="F233" s="46">
        <v>690.5</v>
      </c>
      <c r="G233" s="46">
        <f t="shared" si="44"/>
        <v>255.48499999999999</v>
      </c>
      <c r="H233" s="47">
        <f t="shared" si="45"/>
        <v>0.7016979470419008</v>
      </c>
      <c r="I233" s="48"/>
      <c r="J233" s="48"/>
    </row>
    <row r="234" spans="2:16" ht="18.75" customHeight="1" x14ac:dyDescent="0.25">
      <c r="B234" s="42" t="s">
        <v>300</v>
      </c>
      <c r="C234" s="43">
        <v>1.5</v>
      </c>
      <c r="D234" s="85" t="s">
        <v>301</v>
      </c>
      <c r="E234" s="68">
        <v>82.517499999999998</v>
      </c>
      <c r="F234" s="46">
        <v>1477.5</v>
      </c>
      <c r="G234" s="46">
        <f t="shared" si="44"/>
        <v>546.67499999999995</v>
      </c>
      <c r="H234" s="47">
        <f t="shared" si="45"/>
        <v>0.84905565463941102</v>
      </c>
      <c r="I234" s="48"/>
      <c r="J234" s="48"/>
    </row>
    <row r="235" spans="2:16" ht="18.75" customHeight="1" x14ac:dyDescent="0.25">
      <c r="B235" s="42" t="s">
        <v>302</v>
      </c>
      <c r="C235" s="43">
        <v>0.1</v>
      </c>
      <c r="D235" s="85" t="s">
        <v>303</v>
      </c>
      <c r="E235" s="68">
        <v>0.26</v>
      </c>
      <c r="F235" s="46">
        <v>6</v>
      </c>
      <c r="G235" s="46">
        <f t="shared" si="44"/>
        <v>2.2199999999999998</v>
      </c>
      <c r="H235" s="47">
        <f t="shared" si="45"/>
        <v>0.88288288288288286</v>
      </c>
      <c r="I235" s="48"/>
      <c r="J235" s="48"/>
    </row>
    <row r="236" spans="2:16" ht="18.75" customHeight="1" x14ac:dyDescent="0.25">
      <c r="B236" s="42" t="s">
        <v>304</v>
      </c>
      <c r="C236" s="43">
        <v>5</v>
      </c>
      <c r="D236" s="49" t="s">
        <v>305</v>
      </c>
      <c r="E236" s="92">
        <v>35.96</v>
      </c>
      <c r="F236" s="46">
        <v>516.5</v>
      </c>
      <c r="G236" s="46">
        <f t="shared" si="44"/>
        <v>191.10499999999999</v>
      </c>
      <c r="H236" s="47">
        <f t="shared" si="45"/>
        <v>0.81183119227649714</v>
      </c>
      <c r="I236" s="48"/>
      <c r="J236" s="48"/>
    </row>
    <row r="237" spans="2:16" ht="18.75" customHeight="1" x14ac:dyDescent="0.25">
      <c r="B237" s="42" t="s">
        <v>306</v>
      </c>
      <c r="C237" s="43">
        <v>0.1</v>
      </c>
      <c r="D237" s="49" t="s">
        <v>307</v>
      </c>
      <c r="E237" s="92">
        <v>0.82399999999999995</v>
      </c>
      <c r="F237" s="46">
        <v>6</v>
      </c>
      <c r="G237" s="46">
        <f t="shared" si="44"/>
        <v>2.2199999999999998</v>
      </c>
      <c r="H237" s="47">
        <f t="shared" si="45"/>
        <v>0.62882882882882885</v>
      </c>
      <c r="I237" s="48"/>
      <c r="J237" s="48"/>
    </row>
    <row r="238" spans="2:16" ht="18.75" customHeight="1" x14ac:dyDescent="0.25">
      <c r="B238" s="393"/>
      <c r="C238" s="393"/>
      <c r="D238" s="393"/>
      <c r="E238" s="393"/>
      <c r="F238" s="393"/>
      <c r="G238" s="393"/>
      <c r="I238" s="117"/>
      <c r="J238" s="117"/>
    </row>
    <row r="239" spans="2:16" ht="19.7" customHeight="1" x14ac:dyDescent="0.25">
      <c r="B239" s="392" t="s">
        <v>308</v>
      </c>
      <c r="C239" s="392"/>
      <c r="D239" s="392"/>
      <c r="E239" s="392"/>
      <c r="F239" s="392"/>
      <c r="G239" s="392"/>
      <c r="I239" s="91"/>
      <c r="J239" s="91"/>
    </row>
    <row r="240" spans="2:16" ht="18.75" customHeight="1" x14ac:dyDescent="0.25">
      <c r="B240" s="42" t="s">
        <v>309</v>
      </c>
      <c r="C240" s="43">
        <v>20</v>
      </c>
      <c r="D240" s="52" t="s">
        <v>310</v>
      </c>
      <c r="E240" s="68">
        <v>405.04</v>
      </c>
      <c r="F240" s="46">
        <v>5124.5</v>
      </c>
      <c r="G240" s="46">
        <f>F240*$G$5</f>
        <v>1896.0650000000001</v>
      </c>
      <c r="H240" s="47">
        <f>((G240-E240)/G240)</f>
        <v>0.78637863153425647</v>
      </c>
      <c r="I240" s="180"/>
      <c r="J240" s="180"/>
    </row>
    <row r="241" spans="2:10" ht="18.75" customHeight="1" x14ac:dyDescent="0.25">
      <c r="B241" s="42" t="s">
        <v>311</v>
      </c>
      <c r="C241" s="43">
        <v>50</v>
      </c>
      <c r="D241" s="96" t="s">
        <v>312</v>
      </c>
      <c r="E241" s="92">
        <v>303.65679999999998</v>
      </c>
      <c r="F241" s="46">
        <v>5124.5</v>
      </c>
      <c r="G241" s="46">
        <f>F241*$G$5</f>
        <v>1896.0650000000001</v>
      </c>
      <c r="H241" s="47">
        <f>((G241-E241)/G241)</f>
        <v>0.8398489503260701</v>
      </c>
      <c r="I241" s="180"/>
      <c r="J241" s="180"/>
    </row>
    <row r="242" spans="2:10" ht="18.75" customHeight="1" x14ac:dyDescent="0.25">
      <c r="B242" s="393"/>
      <c r="C242" s="393"/>
      <c r="D242" s="393"/>
      <c r="E242" s="393"/>
      <c r="F242" s="393"/>
      <c r="G242" s="393"/>
      <c r="I242" s="117"/>
      <c r="J242" s="117"/>
    </row>
    <row r="243" spans="2:10" ht="19.7" customHeight="1" x14ac:dyDescent="0.25">
      <c r="B243" s="392" t="s">
        <v>313</v>
      </c>
      <c r="C243" s="392"/>
      <c r="D243" s="392"/>
      <c r="E243" s="392"/>
      <c r="F243" s="392"/>
      <c r="G243" s="392"/>
      <c r="I243" s="91"/>
      <c r="J243" s="91"/>
    </row>
    <row r="244" spans="2:10" ht="18.75" customHeight="1" x14ac:dyDescent="0.25">
      <c r="B244" s="124" t="s">
        <v>314</v>
      </c>
      <c r="C244" s="125" t="s">
        <v>315</v>
      </c>
      <c r="D244" s="126" t="s">
        <v>316</v>
      </c>
      <c r="E244" s="127"/>
      <c r="F244" s="128">
        <v>3000</v>
      </c>
      <c r="G244" s="181">
        <v>0</v>
      </c>
      <c r="I244" s="180"/>
      <c r="J244" s="180"/>
    </row>
    <row r="245" spans="2:10" ht="18.75" customHeight="1" x14ac:dyDescent="0.25">
      <c r="B245" s="129" t="s">
        <v>317</v>
      </c>
      <c r="C245" s="130" t="s">
        <v>315</v>
      </c>
      <c r="D245" s="131" t="s">
        <v>316</v>
      </c>
      <c r="E245" s="132"/>
      <c r="F245" s="133">
        <v>1500</v>
      </c>
      <c r="G245" s="182">
        <v>0</v>
      </c>
      <c r="I245" s="180"/>
      <c r="J245" s="180"/>
    </row>
    <row r="246" spans="2:10" ht="18.75" customHeight="1" x14ac:dyDescent="0.25"/>
    <row r="247" spans="2:10" ht="18.75" customHeight="1" x14ac:dyDescent="0.25"/>
    <row r="248" spans="2:10" ht="18.75" customHeight="1" x14ac:dyDescent="0.25"/>
    <row r="249" spans="2:10" ht="18.75" customHeight="1" x14ac:dyDescent="0.25"/>
    <row r="250" spans="2:10" ht="18.75" customHeight="1" x14ac:dyDescent="0.25"/>
    <row r="251" spans="2:10" ht="18.75" customHeight="1" x14ac:dyDescent="0.25"/>
    <row r="252" spans="2:10" ht="18.75" customHeight="1" x14ac:dyDescent="0.25"/>
    <row r="253" spans="2:10" ht="18.75" customHeight="1" x14ac:dyDescent="0.25"/>
    <row r="254" spans="2:10" ht="18.75" customHeight="1" x14ac:dyDescent="0.25"/>
    <row r="255" spans="2:10" ht="18.75" customHeight="1" x14ac:dyDescent="0.25"/>
    <row r="256" spans="2:10" ht="18.75" customHeight="1" x14ac:dyDescent="0.25"/>
    <row r="257" ht="18.75" customHeight="1" x14ac:dyDescent="0.25"/>
    <row r="258" ht="18.75" customHeight="1" x14ac:dyDescent="0.25"/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</sheetData>
  <mergeCells count="63">
    <mergeCell ref="B1:C1"/>
    <mergeCell ref="B2:C2"/>
    <mergeCell ref="B9:G9"/>
    <mergeCell ref="B10:G10"/>
    <mergeCell ref="B15:G15"/>
    <mergeCell ref="B22:G22"/>
    <mergeCell ref="B31:G31"/>
    <mergeCell ref="B38:G38"/>
    <mergeCell ref="B47:G47"/>
    <mergeCell ref="B49:G49"/>
    <mergeCell ref="B50:G50"/>
    <mergeCell ref="B61:G61"/>
    <mergeCell ref="B62:G62"/>
    <mergeCell ref="B70:G70"/>
    <mergeCell ref="B71:G71"/>
    <mergeCell ref="B72:G72"/>
    <mergeCell ref="B73:G73"/>
    <mergeCell ref="B80:G80"/>
    <mergeCell ref="B87:G87"/>
    <mergeCell ref="B88:G88"/>
    <mergeCell ref="B89:G89"/>
    <mergeCell ref="B90:G90"/>
    <mergeCell ref="B97:G97"/>
    <mergeCell ref="B104:G104"/>
    <mergeCell ref="B105:G105"/>
    <mergeCell ref="B106:G106"/>
    <mergeCell ref="B107:G107"/>
    <mergeCell ref="B111:G111"/>
    <mergeCell ref="B115:G115"/>
    <mergeCell ref="B118:G118"/>
    <mergeCell ref="B119:G119"/>
    <mergeCell ref="B120:G120"/>
    <mergeCell ref="B123:G123"/>
    <mergeCell ref="B124:G124"/>
    <mergeCell ref="B126:G126"/>
    <mergeCell ref="B127:G127"/>
    <mergeCell ref="B136:G136"/>
    <mergeCell ref="B137:G137"/>
    <mergeCell ref="B141:G141"/>
    <mergeCell ref="B142:G142"/>
    <mergeCell ref="B151:G151"/>
    <mergeCell ref="B152:G152"/>
    <mergeCell ref="B155:G155"/>
    <mergeCell ref="B156:G156"/>
    <mergeCell ref="B158:G158"/>
    <mergeCell ref="B159:G159"/>
    <mergeCell ref="B160:G160"/>
    <mergeCell ref="B161:G161"/>
    <mergeCell ref="B170:G170"/>
    <mergeCell ref="B171:G171"/>
    <mergeCell ref="B180:G180"/>
    <mergeCell ref="B181:G181"/>
    <mergeCell ref="B190:G190"/>
    <mergeCell ref="B191:G191"/>
    <mergeCell ref="B202:G202"/>
    <mergeCell ref="B239:G239"/>
    <mergeCell ref="B242:G242"/>
    <mergeCell ref="B243:G243"/>
    <mergeCell ref="B205:G205"/>
    <mergeCell ref="B206:G206"/>
    <mergeCell ref="B215:G215"/>
    <mergeCell ref="B216:G216"/>
    <mergeCell ref="B238:G238"/>
  </mergeCells>
  <conditionalFormatting sqref="B49 B50:D60 B61 B62:D69 B87:B88 B104:B105 B162:D170 B70 B80 B97 B71:D79 B81:D86 B89:D96 B98:D103">
    <cfRule type="expression" dxfId="30" priority="30">
      <formula>$B49="not found"</formula>
    </cfRule>
  </conditionalFormatting>
  <conditionalFormatting sqref="B70 B80">
    <cfRule type="containsText" dxfId="29" priority="24" operator="containsText" text="not found">
      <formula>NOT(ISERROR(SEARCH("not found",B70)))</formula>
    </cfRule>
  </conditionalFormatting>
  <conditionalFormatting sqref="B97">
    <cfRule type="containsText" dxfId="28" priority="23" operator="containsText" text="not found">
      <formula>NOT(ISERROR(SEARCH("not found",B97)))</formula>
    </cfRule>
  </conditionalFormatting>
  <conditionalFormatting sqref="B107 B111 B158 B106:D106 B108:D110 B112:D157 B159:D160">
    <cfRule type="expression" dxfId="27" priority="25">
      <formula>$B106="not found"</formula>
    </cfRule>
  </conditionalFormatting>
  <conditionalFormatting sqref="B107 B111 B158">
    <cfRule type="containsText" dxfId="26" priority="22" operator="containsText" text="not found">
      <formula>NOT(ISERROR(SEARCH("not found",B107)))</formula>
    </cfRule>
  </conditionalFormatting>
  <conditionalFormatting sqref="B171">
    <cfRule type="containsText" dxfId="25" priority="26" operator="containsText" text="not found">
      <formula>NOT(ISERROR(SEARCH("not found",B171)))</formula>
    </cfRule>
    <cfRule type="expression" dxfId="24" priority="27">
      <formula>$B171="not found"</formula>
    </cfRule>
  </conditionalFormatting>
  <conditionalFormatting sqref="B181">
    <cfRule type="containsText" dxfId="23" priority="16" operator="containsText" text="not found">
      <formula>NOT(ISERROR(SEARCH("not found",B181)))</formula>
    </cfRule>
    <cfRule type="expression" dxfId="22" priority="17">
      <formula>$B181="not found"</formula>
    </cfRule>
  </conditionalFormatting>
  <conditionalFormatting sqref="B1:D44 B45:B46 B47:D48 B161 B172:D179 B182:D201 B202 B203:D1048576">
    <cfRule type="expression" dxfId="21" priority="29">
      <formula>$B1="not found"</formula>
    </cfRule>
  </conditionalFormatting>
  <conditionalFormatting sqref="B180:D180">
    <cfRule type="expression" dxfId="20" priority="18">
      <formula>$B180="not found"</formula>
    </cfRule>
  </conditionalFormatting>
  <conditionalFormatting sqref="B71:G79">
    <cfRule type="containsText" dxfId="19" priority="20" operator="containsText" text="not found">
      <formula>NOT(ISERROR(SEARCH("not found",B71)))</formula>
    </cfRule>
  </conditionalFormatting>
  <conditionalFormatting sqref="B81:G87">
    <cfRule type="containsText" dxfId="18" priority="19" operator="containsText" text="not found">
      <formula>NOT(ISERROR(SEARCH("not found",B81)))</formula>
    </cfRule>
  </conditionalFormatting>
  <conditionalFormatting sqref="B89:G96">
    <cfRule type="containsText" dxfId="17" priority="15" operator="containsText" text="not found">
      <formula>NOT(ISERROR(SEARCH("not found",B89)))</formula>
    </cfRule>
  </conditionalFormatting>
  <conditionalFormatting sqref="B98:G104">
    <cfRule type="containsText" dxfId="16" priority="14" operator="containsText" text="not found">
      <formula>NOT(ISERROR(SEARCH("not found",B98)))</formula>
    </cfRule>
  </conditionalFormatting>
  <conditionalFormatting sqref="B106:G106 B108:F110 B112:F114 B115:G115 B116:F117 B118:G120 B121:F122 B123:G157 B159:G160 B7:G48 B172:G180 H7:H14 I7:J245 B49 B50:G60 B61 B62:G69 B88 B105 B161 B162:G170 B182:G245">
    <cfRule type="containsText" dxfId="15" priority="28" operator="containsText" text="not found">
      <formula>NOT(ISERROR(SEARCH("not found",B7)))</formula>
    </cfRule>
  </conditionalFormatting>
  <conditionalFormatting sqref="C45:D45">
    <cfRule type="expression" dxfId="14" priority="32">
      <formula>#REF!="not found"</formula>
    </cfRule>
  </conditionalFormatting>
  <conditionalFormatting sqref="C46:D46">
    <cfRule type="expression" dxfId="13" priority="31">
      <formula>$B45="not found"</formula>
    </cfRule>
  </conditionalFormatting>
  <conditionalFormatting sqref="D45:D46">
    <cfRule type="expression" dxfId="12" priority="21">
      <formula>$B45="not found"</formula>
    </cfRule>
  </conditionalFormatting>
  <conditionalFormatting sqref="G108:G110">
    <cfRule type="containsText" dxfId="11" priority="13" operator="containsText" text="not found">
      <formula>NOT(ISERROR(SEARCH("not found",G108)))</formula>
    </cfRule>
  </conditionalFormatting>
  <conditionalFormatting sqref="G112:G114">
    <cfRule type="containsText" dxfId="10" priority="12" operator="containsText" text="not found">
      <formula>NOT(ISERROR(SEARCH("not found",G112)))</formula>
    </cfRule>
  </conditionalFormatting>
  <conditionalFormatting sqref="G116:G117">
    <cfRule type="containsText" dxfId="9" priority="11" operator="containsText" text="not found">
      <formula>NOT(ISERROR(SEARCH("not found",G116)))</formula>
    </cfRule>
  </conditionalFormatting>
  <conditionalFormatting sqref="G121:G122">
    <cfRule type="containsText" dxfId="8" priority="10" operator="containsText" text="not found">
      <formula>NOT(ISERROR(SEARCH("not found",G121)))</formula>
    </cfRule>
  </conditionalFormatting>
  <conditionalFormatting sqref="H16:H49">
    <cfRule type="containsText" dxfId="7" priority="9" operator="containsText" text="not found">
      <formula>NOT(ISERROR(SEARCH("not found",H16)))</formula>
    </cfRule>
  </conditionalFormatting>
  <conditionalFormatting sqref="H51:H79">
    <cfRule type="containsText" dxfId="6" priority="8" operator="containsText" text="not found">
      <formula>NOT(ISERROR(SEARCH("not found",H51)))</formula>
    </cfRule>
  </conditionalFormatting>
  <conditionalFormatting sqref="H81:H135">
    <cfRule type="containsText" dxfId="5" priority="7" operator="containsText" text="not found">
      <formula>NOT(ISERROR(SEARCH("not found",H81)))</formula>
    </cfRule>
  </conditionalFormatting>
  <conditionalFormatting sqref="H137:H201">
    <cfRule type="containsText" dxfId="4" priority="6" operator="containsText" text="not found">
      <formula>NOT(ISERROR(SEARCH("not found",H137)))</formula>
    </cfRule>
  </conditionalFormatting>
  <conditionalFormatting sqref="H203:H204">
    <cfRule type="containsText" dxfId="3" priority="5" operator="containsText" text="not found">
      <formula>NOT(ISERROR(SEARCH("not found",H203)))</formula>
    </cfRule>
  </conditionalFormatting>
  <conditionalFormatting sqref="H207:H214">
    <cfRule type="containsText" dxfId="2" priority="4" operator="containsText" text="not found">
      <formula>NOT(ISERROR(SEARCH("not found",H207)))</formula>
    </cfRule>
  </conditionalFormatting>
  <conditionalFormatting sqref="H217:H237">
    <cfRule type="containsText" dxfId="1" priority="3" operator="containsText" text="not found">
      <formula>NOT(ISERROR(SEARCH("not found",H217)))</formula>
    </cfRule>
  </conditionalFormatting>
  <conditionalFormatting sqref="H240:H241">
    <cfRule type="containsText" dxfId="0" priority="2" operator="containsText" text="not found">
      <formula>NOT(ISERROR(SEARCH("not found",H240)))</formula>
    </cfRule>
  </conditionalFormatting>
  <dataValidations count="1">
    <dataValidation type="whole" allowBlank="1" showInputMessage="1" showErrorMessage="1" errorTitle="Exceeds Maximum Quantity" error="Maximum quantity is 1." promptTitle="First Day Site Support" prompt="User could only enter a 1" sqref="E244" xr:uid="{00000000-0002-0000-0200-000000000000}">
      <formula1>0</formula1>
      <formula2>1</formula2>
    </dataValidation>
  </dataValidations>
  <pageMargins left="0" right="0" top="0" bottom="0" header="0.511811023622047" footer="0.511811023622047"/>
  <pageSetup fitToHeight="0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7"/>
  <sheetViews>
    <sheetView zoomScale="125" zoomScaleNormal="125" workbookViewId="0"/>
  </sheetViews>
  <sheetFormatPr defaultColWidth="8.7109375" defaultRowHeight="15" x14ac:dyDescent="0.25"/>
  <cols>
    <col min="1" max="1" width="6.5703125" customWidth="1"/>
    <col min="2" max="2" width="60.42578125" customWidth="1"/>
    <col min="4" max="4" width="11.5703125" customWidth="1"/>
    <col min="6" max="6" width="11.7109375" customWidth="1"/>
    <col min="8" max="8" width="12.5703125" customWidth="1"/>
    <col min="10" max="10" width="9.85546875" customWidth="1"/>
    <col min="11" max="11" width="11.5703125" customWidth="1"/>
  </cols>
  <sheetData>
    <row r="1" spans="1:12" x14ac:dyDescent="0.25">
      <c r="A1" s="183" t="s">
        <v>565</v>
      </c>
      <c r="F1" s="184" t="s">
        <v>566</v>
      </c>
      <c r="H1" s="184" t="s">
        <v>567</v>
      </c>
      <c r="J1" s="184" t="s">
        <v>568</v>
      </c>
      <c r="K1" s="184" t="s">
        <v>569</v>
      </c>
      <c r="L1" s="184" t="s">
        <v>570</v>
      </c>
    </row>
    <row r="2" spans="1:12" x14ac:dyDescent="0.25">
      <c r="F2" s="169">
        <f>SUM(F5:F200)</f>
        <v>13043.461260000005</v>
      </c>
      <c r="H2" s="169">
        <f>SUM(H5:H200)</f>
        <v>96878.5</v>
      </c>
      <c r="J2">
        <v>0.3</v>
      </c>
      <c r="K2" s="169">
        <f>H2*J2</f>
        <v>29063.55</v>
      </c>
      <c r="L2" s="185">
        <f>IFERROR((K2-F2)/K2,"")</f>
        <v>0.55120894522520458</v>
      </c>
    </row>
    <row r="4" spans="1:12" x14ac:dyDescent="0.25">
      <c r="A4" s="186" t="s">
        <v>571</v>
      </c>
      <c r="B4" s="186" t="s">
        <v>572</v>
      </c>
      <c r="C4" s="186" t="s">
        <v>573</v>
      </c>
      <c r="D4" s="186" t="s">
        <v>574</v>
      </c>
      <c r="F4" s="187" t="s">
        <v>575</v>
      </c>
      <c r="H4" s="187" t="s">
        <v>576</v>
      </c>
    </row>
    <row r="5" spans="1:12" x14ac:dyDescent="0.25">
      <c r="A5">
        <v>1</v>
      </c>
      <c r="B5" t="s">
        <v>155</v>
      </c>
      <c r="C5">
        <v>4</v>
      </c>
      <c r="D5" t="s">
        <v>156</v>
      </c>
      <c r="F5" s="188">
        <f>IFERROR(VLOOKUP(D5,Updated!D:E,2,FALSE())*C5,"")</f>
        <v>3404.36</v>
      </c>
      <c r="H5" s="188">
        <f>IFERROR(VLOOKUP(D5,Updated!D:F,3,FALSE())*C5,"")</f>
        <v>23004</v>
      </c>
    </row>
    <row r="6" spans="1:12" x14ac:dyDescent="0.25">
      <c r="A6">
        <v>2</v>
      </c>
      <c r="B6" t="s">
        <v>162</v>
      </c>
      <c r="C6">
        <v>1</v>
      </c>
      <c r="D6" t="s">
        <v>163</v>
      </c>
      <c r="F6" s="188">
        <f>IFERROR(VLOOKUP(D6,Updated!D:E,2,FALSE())*C6,"")</f>
        <v>551.34259999999995</v>
      </c>
      <c r="H6" s="188">
        <f>IFERROR(VLOOKUP(D6,Updated!D:F,3,FALSE())*C6,"")</f>
        <v>6391.5</v>
      </c>
    </row>
    <row r="7" spans="1:12" x14ac:dyDescent="0.25">
      <c r="A7">
        <v>3</v>
      </c>
      <c r="B7" t="s">
        <v>164</v>
      </c>
      <c r="C7">
        <v>3</v>
      </c>
      <c r="D7" t="s">
        <v>165</v>
      </c>
      <c r="F7" s="188">
        <f>IFERROR(VLOOKUP(D7,Updated!D:E,2,FALSE())*C7,"")</f>
        <v>390.11009999999999</v>
      </c>
      <c r="H7" s="188">
        <f>IFERROR(VLOOKUP(D7,Updated!D:F,3,FALSE())*C7,"")</f>
        <v>4539</v>
      </c>
    </row>
    <row r="8" spans="1:12" x14ac:dyDescent="0.25">
      <c r="A8">
        <v>4</v>
      </c>
      <c r="B8" t="s">
        <v>577</v>
      </c>
      <c r="C8">
        <v>1</v>
      </c>
      <c r="D8" t="s">
        <v>327</v>
      </c>
      <c r="F8" s="188">
        <f>IFERROR(VLOOKUP(D8,Updated!D:E,2,FALSE())*C8,"")</f>
        <v>5338.1933399999998</v>
      </c>
      <c r="H8" s="188">
        <f>IFERROR(VLOOKUP(D8,Updated!D:F,3,FALSE())*C8,"")</f>
        <v>28855.5</v>
      </c>
    </row>
    <row r="9" spans="1:12" x14ac:dyDescent="0.25">
      <c r="A9">
        <v>5</v>
      </c>
      <c r="B9" t="s">
        <v>145</v>
      </c>
      <c r="C9">
        <v>1</v>
      </c>
      <c r="D9" t="s">
        <v>146</v>
      </c>
      <c r="F9" s="188">
        <f>IFERROR(VLOOKUP(D9,Updated!D:E,2,FALSE())*C9,"")</f>
        <v>0</v>
      </c>
      <c r="H9" s="188">
        <f>IFERROR(VLOOKUP(D9,Updated!D:F,3,FALSE())*C9,"")</f>
        <v>55</v>
      </c>
    </row>
    <row r="10" spans="1:12" x14ac:dyDescent="0.25">
      <c r="A10">
        <v>6</v>
      </c>
      <c r="B10" t="s">
        <v>49</v>
      </c>
      <c r="C10">
        <v>2</v>
      </c>
      <c r="D10" t="s">
        <v>50</v>
      </c>
      <c r="F10" s="188">
        <f>IFERROR(VLOOKUP(D10,Updated!D:E,2,FALSE())*C10,"")</f>
        <v>65.407600000000002</v>
      </c>
      <c r="H10" s="188">
        <f>IFERROR(VLOOKUP(D10,Updated!D:F,3,FALSE())*C10,"")</f>
        <v>2382</v>
      </c>
    </row>
    <row r="11" spans="1:12" x14ac:dyDescent="0.25">
      <c r="A11">
        <v>7</v>
      </c>
      <c r="B11" t="s">
        <v>65</v>
      </c>
      <c r="C11">
        <v>2</v>
      </c>
      <c r="D11" t="s">
        <v>66</v>
      </c>
      <c r="F11" s="188">
        <f>IFERROR(VLOOKUP(D11,Updated!D:E,2,FALSE())*C11,"")</f>
        <v>271.02</v>
      </c>
      <c r="H11" s="188">
        <f>IFERROR(VLOOKUP(D11,Updated!D:F,3,FALSE())*C11,"")</f>
        <v>2936</v>
      </c>
    </row>
    <row r="12" spans="1:12" x14ac:dyDescent="0.25">
      <c r="A12">
        <v>8</v>
      </c>
      <c r="B12" t="s">
        <v>225</v>
      </c>
      <c r="C12">
        <v>1</v>
      </c>
      <c r="D12" t="s">
        <v>226</v>
      </c>
      <c r="F12" s="188">
        <f>IFERROR(VLOOKUP(D12,Updated!D:E,2,FALSE())*C12,"")</f>
        <v>1470.2704200000001</v>
      </c>
      <c r="H12" s="188">
        <f>IFERROR(VLOOKUP(D12,Updated!D:F,3,FALSE())*C12,"")</f>
        <v>11534</v>
      </c>
    </row>
    <row r="13" spans="1:12" x14ac:dyDescent="0.25">
      <c r="A13">
        <v>9</v>
      </c>
      <c r="B13" t="s">
        <v>578</v>
      </c>
      <c r="C13">
        <v>1</v>
      </c>
      <c r="D13" t="s">
        <v>579</v>
      </c>
      <c r="F13" s="188" t="str">
        <f>IFERROR(VLOOKUP(D13,Updated!D:E,2,FALSE())*C13,"")</f>
        <v/>
      </c>
      <c r="H13" s="188" t="str">
        <f>IFERROR(VLOOKUP(D13,Updated!D:F,3,FALSE())*C13,"")</f>
        <v/>
      </c>
    </row>
    <row r="14" spans="1:12" x14ac:dyDescent="0.25">
      <c r="A14">
        <v>10</v>
      </c>
      <c r="B14" t="s">
        <v>131</v>
      </c>
      <c r="C14">
        <v>1</v>
      </c>
      <c r="D14" t="s">
        <v>132</v>
      </c>
      <c r="F14" s="188">
        <f>IFERROR(VLOOKUP(D14,Updated!D:E,2,FALSE())*C14,"")</f>
        <v>125.48</v>
      </c>
      <c r="H14" s="188">
        <f>IFERROR(VLOOKUP(D14,Updated!D:F,3,FALSE())*C14,"")</f>
        <v>1840</v>
      </c>
    </row>
    <row r="15" spans="1:12" x14ac:dyDescent="0.25">
      <c r="A15">
        <v>11</v>
      </c>
      <c r="B15" t="s">
        <v>309</v>
      </c>
      <c r="C15">
        <v>1</v>
      </c>
      <c r="D15" t="s">
        <v>310</v>
      </c>
      <c r="F15" s="188">
        <f>IFERROR(VLOOKUP(D15,Updated!D:E,2,FALSE())*C15,"")</f>
        <v>405.04</v>
      </c>
      <c r="H15" s="188">
        <f>IFERROR(VLOOKUP(D15,Updated!D:F,3,FALSE())*C15,"")</f>
        <v>5432</v>
      </c>
    </row>
    <row r="16" spans="1:12" x14ac:dyDescent="0.25">
      <c r="A16">
        <v>12</v>
      </c>
      <c r="B16" t="s">
        <v>176</v>
      </c>
      <c r="C16">
        <v>4</v>
      </c>
      <c r="D16" t="s">
        <v>177</v>
      </c>
      <c r="F16" s="188">
        <f>IFERROR(VLOOKUP(D16,Updated!D:E,2,FALSE())*C16,"")</f>
        <v>192.5872</v>
      </c>
      <c r="H16" s="188">
        <f>IFERROR(VLOOKUP(D16,Updated!D:F,3,FALSE())*C16,"")</f>
        <v>3028</v>
      </c>
    </row>
    <row r="17" spans="1:8" x14ac:dyDescent="0.25">
      <c r="A17">
        <v>13</v>
      </c>
      <c r="B17" t="s">
        <v>253</v>
      </c>
      <c r="C17">
        <v>1</v>
      </c>
      <c r="D17" t="s">
        <v>254</v>
      </c>
      <c r="F17" s="188">
        <f>IFERROR(VLOOKUP(D17,Updated!D:E,2,FALSE())*C17,"")</f>
        <v>12.6</v>
      </c>
      <c r="H17" s="188">
        <f>IFERROR(VLOOKUP(D17,Updated!D:F,3,FALSE())*C17,"")</f>
        <v>101.5</v>
      </c>
    </row>
    <row r="18" spans="1:8" x14ac:dyDescent="0.25">
      <c r="A18">
        <v>14</v>
      </c>
      <c r="B18" t="s">
        <v>255</v>
      </c>
      <c r="C18">
        <v>1</v>
      </c>
      <c r="D18" t="s">
        <v>256</v>
      </c>
      <c r="F18" s="188">
        <f>IFERROR(VLOOKUP(D18,Updated!D:E,2,FALSE())*C18,"")</f>
        <v>12.6</v>
      </c>
      <c r="H18" s="188">
        <f>IFERROR(VLOOKUP(D18,Updated!D:F,3,FALSE())*C18,"")</f>
        <v>55</v>
      </c>
    </row>
    <row r="19" spans="1:8" x14ac:dyDescent="0.25">
      <c r="A19">
        <v>15</v>
      </c>
      <c r="B19" t="s">
        <v>257</v>
      </c>
      <c r="C19">
        <v>1</v>
      </c>
      <c r="D19" t="s">
        <v>258</v>
      </c>
      <c r="F19" s="188">
        <f>IFERROR(VLOOKUP(D19,Updated!D:E,2,FALSE())*C19,"")</f>
        <v>5.28</v>
      </c>
      <c r="H19" s="188">
        <f>IFERROR(VLOOKUP(D19,Updated!D:F,3,FALSE())*C19,"")</f>
        <v>55</v>
      </c>
    </row>
    <row r="20" spans="1:8" x14ac:dyDescent="0.25">
      <c r="A20">
        <v>16</v>
      </c>
      <c r="B20" t="s">
        <v>253</v>
      </c>
      <c r="C20">
        <v>1</v>
      </c>
      <c r="D20" t="s">
        <v>254</v>
      </c>
      <c r="F20" s="188">
        <f>IFERROR(VLOOKUP(D20,Updated!D:E,2,FALSE())*C20,"")</f>
        <v>12.6</v>
      </c>
      <c r="H20" s="188">
        <f>IFERROR(VLOOKUP(D20,Updated!D:F,3,FALSE())*C20,"")</f>
        <v>101.5</v>
      </c>
    </row>
    <row r="21" spans="1:8" x14ac:dyDescent="0.25">
      <c r="A21">
        <v>17</v>
      </c>
      <c r="B21" t="s">
        <v>255</v>
      </c>
      <c r="C21">
        <v>1</v>
      </c>
      <c r="D21" t="s">
        <v>256</v>
      </c>
      <c r="F21" s="188">
        <f>IFERROR(VLOOKUP(D21,Updated!D:E,2,FALSE())*C21,"")</f>
        <v>12.6</v>
      </c>
      <c r="H21" s="188">
        <f>IFERROR(VLOOKUP(D21,Updated!D:F,3,FALSE())*C21,"")</f>
        <v>55</v>
      </c>
    </row>
    <row r="22" spans="1:8" x14ac:dyDescent="0.25">
      <c r="A22">
        <v>18</v>
      </c>
      <c r="B22" t="s">
        <v>257</v>
      </c>
      <c r="C22">
        <v>1</v>
      </c>
      <c r="D22" t="s">
        <v>258</v>
      </c>
      <c r="F22" s="188">
        <f>IFERROR(VLOOKUP(D22,Updated!D:E,2,FALSE())*C22,"")</f>
        <v>5.28</v>
      </c>
      <c r="H22" s="188">
        <f>IFERROR(VLOOKUP(D22,Updated!D:F,3,FALSE())*C22,"")</f>
        <v>55</v>
      </c>
    </row>
    <row r="23" spans="1:8" x14ac:dyDescent="0.25">
      <c r="A23">
        <v>19</v>
      </c>
      <c r="B23" t="s">
        <v>180</v>
      </c>
      <c r="C23">
        <v>1</v>
      </c>
      <c r="D23" t="s">
        <v>181</v>
      </c>
      <c r="F23" s="188">
        <f>IFERROR(VLOOKUP(D23,Updated!D:E,2,FALSE())*C23,"")</f>
        <v>768.69</v>
      </c>
      <c r="H23" s="188">
        <f>IFERROR(VLOOKUP(D23,Updated!D:F,3,FALSE())*C23,"")</f>
        <v>6458.5</v>
      </c>
    </row>
    <row r="24" spans="1:8" x14ac:dyDescent="0.25">
      <c r="F24" s="188" t="str">
        <f>IFERROR(VLOOKUP(D24,Updated!D:E,2,FALSE())*C24,"")</f>
        <v/>
      </c>
      <c r="H24" s="188" t="str">
        <f>IFERROR(VLOOKUP(D24,Updated!D:F,3,FALSE())*C24,"")</f>
        <v/>
      </c>
    </row>
    <row r="25" spans="1:8" x14ac:dyDescent="0.25">
      <c r="F25" s="188" t="str">
        <f>IFERROR(VLOOKUP(D25,Updated!D:E,2,FALSE())*C25,"")</f>
        <v/>
      </c>
      <c r="H25" s="188" t="str">
        <f>IFERROR(VLOOKUP(D25,Updated!D:F,3,FALSE())*C25,"")</f>
        <v/>
      </c>
    </row>
    <row r="26" spans="1:8" x14ac:dyDescent="0.25">
      <c r="F26" s="188" t="str">
        <f>IFERROR(VLOOKUP(D26,Updated!D:E,2,FALSE())*C26,"")</f>
        <v/>
      </c>
      <c r="H26" s="188" t="str">
        <f>IFERROR(VLOOKUP(D26,Updated!D:F,3,FALSE())*C26,"")</f>
        <v/>
      </c>
    </row>
    <row r="27" spans="1:8" x14ac:dyDescent="0.25">
      <c r="F27" s="188" t="str">
        <f>IFERROR(VLOOKUP(D27,Updated!D:E,2,FALSE())*C27,"")</f>
        <v/>
      </c>
      <c r="H27" s="188" t="str">
        <f>IFERROR(VLOOKUP(D27,Updated!D:F,3,FALSE())*C27,"")</f>
        <v/>
      </c>
    </row>
    <row r="28" spans="1:8" x14ac:dyDescent="0.25">
      <c r="F28" s="188" t="str">
        <f>IFERROR(VLOOKUP(D28,Updated!D:E,2,FALSE())*C28,"")</f>
        <v/>
      </c>
      <c r="H28" s="188" t="str">
        <f>IFERROR(VLOOKUP(D28,Updated!D:F,3,FALSE())*C28,"")</f>
        <v/>
      </c>
    </row>
    <row r="29" spans="1:8" x14ac:dyDescent="0.25">
      <c r="F29" s="188" t="str">
        <f>IFERROR(VLOOKUP(D29,Updated!D:E,2,FALSE())*C29,"")</f>
        <v/>
      </c>
      <c r="H29" s="188" t="str">
        <f>IFERROR(VLOOKUP(D29,Updated!D:F,3,FALSE())*C29,"")</f>
        <v/>
      </c>
    </row>
    <row r="30" spans="1:8" x14ac:dyDescent="0.25">
      <c r="F30" s="188" t="str">
        <f>IFERROR(VLOOKUP(D30,Updated!D:E,2,FALSE())*C30,"")</f>
        <v/>
      </c>
      <c r="H30" s="188" t="str">
        <f>IFERROR(VLOOKUP(D30,Updated!D:F,3,FALSE())*C30,"")</f>
        <v/>
      </c>
    </row>
    <row r="31" spans="1:8" x14ac:dyDescent="0.25">
      <c r="F31" s="188" t="str">
        <f>IFERROR(VLOOKUP(D31,Updated!D:E,2,FALSE())*C31,"")</f>
        <v/>
      </c>
      <c r="H31" s="188" t="str">
        <f>IFERROR(VLOOKUP(D31,Updated!D:F,3,FALSE())*C31,"")</f>
        <v/>
      </c>
    </row>
    <row r="32" spans="1:8" x14ac:dyDescent="0.25">
      <c r="F32" s="188" t="str">
        <f>IFERROR(VLOOKUP(D32,Updated!D:E,2,FALSE())*C32,"")</f>
        <v/>
      </c>
      <c r="H32" s="188" t="str">
        <f>IFERROR(VLOOKUP(D32,Updated!D:F,3,FALSE())*C32,"")</f>
        <v/>
      </c>
    </row>
    <row r="33" spans="6:8" x14ac:dyDescent="0.25">
      <c r="F33" s="188" t="str">
        <f>IFERROR(VLOOKUP(D33,Updated!D:E,2,FALSE())*C33,"")</f>
        <v/>
      </c>
      <c r="H33" s="188" t="str">
        <f>IFERROR(VLOOKUP(D33,Updated!D:F,3,FALSE())*C33,"")</f>
        <v/>
      </c>
    </row>
    <row r="34" spans="6:8" x14ac:dyDescent="0.25">
      <c r="F34" s="188" t="str">
        <f>IFERROR(VLOOKUP(D34,Updated!D:E,2,FALSE())*C34,"")</f>
        <v/>
      </c>
      <c r="H34" s="188" t="str">
        <f>IFERROR(VLOOKUP(D34,Updated!D:F,3,FALSE())*C34,"")</f>
        <v/>
      </c>
    </row>
    <row r="35" spans="6:8" x14ac:dyDescent="0.25">
      <c r="F35" s="188" t="str">
        <f>IFERROR(VLOOKUP(D35,Updated!D:E,2,FALSE())*C35,"")</f>
        <v/>
      </c>
      <c r="H35" s="188" t="str">
        <f>IFERROR(VLOOKUP(D35,Updated!D:F,3,FALSE())*C35,"")</f>
        <v/>
      </c>
    </row>
    <row r="36" spans="6:8" x14ac:dyDescent="0.25">
      <c r="F36" s="188" t="str">
        <f>IFERROR(VLOOKUP(D36,Updated!D:E,2,FALSE())*C36,"")</f>
        <v/>
      </c>
      <c r="H36" s="188" t="str">
        <f>IFERROR(VLOOKUP(D36,Updated!D:F,3,FALSE())*C36,"")</f>
        <v/>
      </c>
    </row>
    <row r="37" spans="6:8" x14ac:dyDescent="0.25">
      <c r="F37" s="188" t="str">
        <f>IFERROR(VLOOKUP(D37,Updated!D:E,2,FALSE())*C37,"")</f>
        <v/>
      </c>
      <c r="H37" s="188" t="str">
        <f>IFERROR(VLOOKUP(D37,Updated!D:F,3,FALSE())*C37,"")</f>
        <v/>
      </c>
    </row>
    <row r="38" spans="6:8" x14ac:dyDescent="0.25">
      <c r="F38" s="188" t="str">
        <f>IFERROR(VLOOKUP(D38,Updated!D:E,2,FALSE())*C38,"")</f>
        <v/>
      </c>
      <c r="H38" s="188" t="str">
        <f>IFERROR(VLOOKUP(D38,Updated!D:F,3,FALSE())*C38,"")</f>
        <v/>
      </c>
    </row>
    <row r="39" spans="6:8" x14ac:dyDescent="0.25">
      <c r="F39" s="188" t="str">
        <f>IFERROR(VLOOKUP(D39,Updated!D:E,2,FALSE())*C39,"")</f>
        <v/>
      </c>
      <c r="H39" s="188" t="str">
        <f>IFERROR(VLOOKUP(D39,Updated!D:F,3,FALSE())*C39,"")</f>
        <v/>
      </c>
    </row>
    <row r="40" spans="6:8" x14ac:dyDescent="0.25">
      <c r="F40" s="188" t="str">
        <f>IFERROR(VLOOKUP(D40,Updated!D:E,2,FALSE())*C40,"")</f>
        <v/>
      </c>
      <c r="H40" s="188" t="str">
        <f>IFERROR(VLOOKUP(D40,Updated!D:F,3,FALSE())*C40,"")</f>
        <v/>
      </c>
    </row>
    <row r="41" spans="6:8" x14ac:dyDescent="0.25">
      <c r="F41" s="188" t="str">
        <f>IFERROR(VLOOKUP(D41,Updated!D:E,2,FALSE())*C41,"")</f>
        <v/>
      </c>
      <c r="H41" s="188" t="str">
        <f>IFERROR(VLOOKUP(D41,Updated!D:F,3,FALSE())*C41,"")</f>
        <v/>
      </c>
    </row>
    <row r="42" spans="6:8" x14ac:dyDescent="0.25">
      <c r="F42" s="188" t="str">
        <f>IFERROR(VLOOKUP(D42,Updated!D:E,2,FALSE())*C42,"")</f>
        <v/>
      </c>
      <c r="H42" s="188" t="str">
        <f>IFERROR(VLOOKUP(D42,Updated!D:F,3,FALSE())*C42,"")</f>
        <v/>
      </c>
    </row>
    <row r="43" spans="6:8" x14ac:dyDescent="0.25">
      <c r="F43" s="188" t="str">
        <f>IFERROR(VLOOKUP(D43,Updated!D:E,2,FALSE())*C43,"")</f>
        <v/>
      </c>
      <c r="H43" s="188" t="str">
        <f>IFERROR(VLOOKUP(D43,Updated!D:F,3,FALSE())*C43,"")</f>
        <v/>
      </c>
    </row>
    <row r="44" spans="6:8" x14ac:dyDescent="0.25">
      <c r="F44" s="188" t="str">
        <f>IFERROR(VLOOKUP(D44,Updated!D:E,2,FALSE())*C44,"")</f>
        <v/>
      </c>
      <c r="H44" s="188" t="str">
        <f>IFERROR(VLOOKUP(D44,Updated!D:F,3,FALSE())*C44,"")</f>
        <v/>
      </c>
    </row>
    <row r="45" spans="6:8" x14ac:dyDescent="0.25">
      <c r="F45" s="188" t="str">
        <f>IFERROR(VLOOKUP(D45,Updated!D:E,2,FALSE())*C45,"")</f>
        <v/>
      </c>
      <c r="H45" s="188" t="str">
        <f>IFERROR(VLOOKUP(D45,Updated!D:F,3,FALSE())*C45,"")</f>
        <v/>
      </c>
    </row>
    <row r="46" spans="6:8" x14ac:dyDescent="0.25">
      <c r="F46" s="188" t="str">
        <f>IFERROR(VLOOKUP(D46,Updated!D:E,2,FALSE())*C46,"")</f>
        <v/>
      </c>
      <c r="H46" s="188" t="str">
        <f>IFERROR(VLOOKUP(D46,Updated!D:F,3,FALSE())*C46,"")</f>
        <v/>
      </c>
    </row>
    <row r="47" spans="6:8" x14ac:dyDescent="0.25">
      <c r="F47" s="188" t="str">
        <f>IFERROR(VLOOKUP(D47,Updated!D:E,2,FALSE())*C47,"")</f>
        <v/>
      </c>
      <c r="H47" s="188" t="str">
        <f>IFERROR(VLOOKUP(D47,Updated!D:F,3,FALSE())*C47,"")</f>
        <v/>
      </c>
    </row>
    <row r="48" spans="6:8" x14ac:dyDescent="0.25">
      <c r="F48" s="188" t="str">
        <f>IFERROR(VLOOKUP(D48,Updated!D:E,2,FALSE())*C48,"")</f>
        <v/>
      </c>
      <c r="H48" s="188" t="str">
        <f>IFERROR(VLOOKUP(D48,Updated!D:F,3,FALSE())*C48,"")</f>
        <v/>
      </c>
    </row>
    <row r="49" spans="6:8" x14ac:dyDescent="0.25">
      <c r="F49" s="188" t="str">
        <f>IFERROR(VLOOKUP(D49,Updated!D:E,2,FALSE())*C49,"")</f>
        <v/>
      </c>
      <c r="H49" s="188" t="str">
        <f>IFERROR(VLOOKUP(D49,Updated!D:F,3,FALSE())*C49,"")</f>
        <v/>
      </c>
    </row>
    <row r="50" spans="6:8" x14ac:dyDescent="0.25">
      <c r="F50" s="188" t="str">
        <f>IFERROR(VLOOKUP(D50,Updated!D:E,2,FALSE())*C50,"")</f>
        <v/>
      </c>
      <c r="H50" s="188" t="str">
        <f>IFERROR(VLOOKUP(D50,Updated!D:F,3,FALSE())*C50,"")</f>
        <v/>
      </c>
    </row>
    <row r="51" spans="6:8" x14ac:dyDescent="0.25">
      <c r="F51" s="188" t="str">
        <f>IFERROR(VLOOKUP(D51,Updated!D:E,2,FALSE())*C51,"")</f>
        <v/>
      </c>
      <c r="H51" s="188" t="str">
        <f>IFERROR(VLOOKUP(D51,Updated!D:F,3,FALSE())*C51,"")</f>
        <v/>
      </c>
    </row>
    <row r="52" spans="6:8" x14ac:dyDescent="0.25">
      <c r="F52" s="188" t="str">
        <f>IFERROR(VLOOKUP(D52,Updated!D:E,2,FALSE())*C52,"")</f>
        <v/>
      </c>
      <c r="H52" s="188" t="str">
        <f>IFERROR(VLOOKUP(D52,Updated!D:F,3,FALSE())*C52,"")</f>
        <v/>
      </c>
    </row>
    <row r="53" spans="6:8" x14ac:dyDescent="0.25">
      <c r="F53" s="188" t="str">
        <f>IFERROR(VLOOKUP(D53,Updated!D:E,2,FALSE())*C53,"")</f>
        <v/>
      </c>
      <c r="H53" s="188" t="str">
        <f>IFERROR(VLOOKUP(D53,Updated!D:F,3,FALSE())*C53,"")</f>
        <v/>
      </c>
    </row>
    <row r="54" spans="6:8" x14ac:dyDescent="0.25">
      <c r="F54" s="188" t="str">
        <f>IFERROR(VLOOKUP(D54,Updated!D:E,2,FALSE())*C54,"")</f>
        <v/>
      </c>
      <c r="H54" s="188" t="str">
        <f>IFERROR(VLOOKUP(D54,Updated!D:F,3,FALSE())*C54,"")</f>
        <v/>
      </c>
    </row>
    <row r="55" spans="6:8" x14ac:dyDescent="0.25">
      <c r="H55" s="188" t="str">
        <f>IFERROR(VLOOKUP(D55,Updated!D:F,3,FALSE())*C55,"")</f>
        <v/>
      </c>
    </row>
    <row r="56" spans="6:8" x14ac:dyDescent="0.25">
      <c r="H56" s="188" t="str">
        <f>IFERROR(VLOOKUP(D56,Updated!D:F,3,FALSE())*C56,"")</f>
        <v/>
      </c>
    </row>
    <row r="57" spans="6:8" x14ac:dyDescent="0.25">
      <c r="H57" s="188" t="str">
        <f>IFERROR(VLOOKUP(D57,Updated!D:F,3,FALSE())*C57,"")</f>
        <v/>
      </c>
    </row>
    <row r="58" spans="6:8" x14ac:dyDescent="0.25">
      <c r="H58" s="188" t="str">
        <f>IFERROR(VLOOKUP(D58,Updated!D:F,3,FALSE())*C58,"")</f>
        <v/>
      </c>
    </row>
    <row r="59" spans="6:8" x14ac:dyDescent="0.25">
      <c r="H59" s="188" t="str">
        <f>IFERROR(VLOOKUP(D59,Updated!D:F,3,FALSE())*C59,"")</f>
        <v/>
      </c>
    </row>
    <row r="60" spans="6:8" x14ac:dyDescent="0.25">
      <c r="H60" s="188" t="str">
        <f>IFERROR(VLOOKUP(D60,Updated!D:F,3,FALSE())*C60,"")</f>
        <v/>
      </c>
    </row>
    <row r="61" spans="6:8" x14ac:dyDescent="0.25">
      <c r="H61" s="188" t="str">
        <f>IFERROR(VLOOKUP(D61,Updated!D:F,3,FALSE())*C61,"")</f>
        <v/>
      </c>
    </row>
    <row r="62" spans="6:8" x14ac:dyDescent="0.25">
      <c r="H62" s="188" t="str">
        <f>IFERROR(VLOOKUP(D62,Updated!D:F,3,FALSE())*C62,"")</f>
        <v/>
      </c>
    </row>
    <row r="63" spans="6:8" x14ac:dyDescent="0.25">
      <c r="H63" s="188" t="str">
        <f>IFERROR(VLOOKUP(D63,Updated!D:F,3,FALSE())*C63,"")</f>
        <v/>
      </c>
    </row>
    <row r="64" spans="6:8" x14ac:dyDescent="0.25">
      <c r="H64" s="188" t="str">
        <f>IFERROR(VLOOKUP(D64,Updated!D:F,3,FALSE())*C64,"")</f>
        <v/>
      </c>
    </row>
    <row r="65" spans="8:8" x14ac:dyDescent="0.25">
      <c r="H65" s="188" t="str">
        <f>IFERROR(VLOOKUP(D65,Updated!D:F,3,FALSE())*C65,"")</f>
        <v/>
      </c>
    </row>
    <row r="66" spans="8:8" x14ac:dyDescent="0.25">
      <c r="H66" s="188" t="str">
        <f>IFERROR(VLOOKUP(D66,Updated!D:F,3,FALSE())*C66,"")</f>
        <v/>
      </c>
    </row>
    <row r="67" spans="8:8" x14ac:dyDescent="0.25">
      <c r="H67" s="188" t="str">
        <f>IFERROR(VLOOKUP(D67,Updated!D:F,3,FALSE())*C67,"")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93C59-E103-49AB-8547-741959925C53}">
  <dimension ref="A1:R541"/>
  <sheetViews>
    <sheetView zoomScale="115" zoomScaleNormal="115" workbookViewId="0">
      <pane ySplit="1" topLeftCell="A208" activePane="bottomLeft" state="frozen"/>
      <selection pane="bottomLeft" activeCell="G219" sqref="G219"/>
    </sheetView>
  </sheetViews>
  <sheetFormatPr defaultColWidth="9.140625" defaultRowHeight="15" x14ac:dyDescent="0.25"/>
  <cols>
    <col min="1" max="1" width="29.28515625" style="191" bestFit="1" customWidth="1"/>
    <col min="2" max="2" width="15" style="191" customWidth="1"/>
    <col min="3" max="3" width="16.42578125" style="191" customWidth="1"/>
    <col min="4" max="5" width="15" style="191" customWidth="1"/>
    <col min="6" max="6" width="13" style="191" customWidth="1"/>
    <col min="7" max="7" width="13.28515625" style="191" customWidth="1"/>
    <col min="8" max="8" width="105.42578125" style="191" bestFit="1" customWidth="1"/>
    <col min="9" max="9" width="13.28515625" style="191" customWidth="1"/>
    <col min="10" max="10" width="21.5703125" style="191" customWidth="1"/>
    <col min="11" max="11" width="24.85546875" style="191" customWidth="1"/>
    <col min="12" max="12" width="13.42578125" style="191" customWidth="1"/>
    <col min="13" max="13" width="22.85546875" style="191" customWidth="1"/>
    <col min="14" max="14" width="9.7109375" style="191" customWidth="1"/>
    <col min="15" max="15" width="8" style="191" customWidth="1"/>
    <col min="16" max="16" width="11.28515625" style="191" customWidth="1"/>
    <col min="17" max="17" width="9" style="191" customWidth="1"/>
    <col min="18" max="18" width="12.140625" style="191" customWidth="1"/>
    <col min="19" max="16384" width="9.140625" style="191"/>
  </cols>
  <sheetData>
    <row r="1" spans="1:18" ht="26.1" customHeight="1" x14ac:dyDescent="0.25">
      <c r="A1" s="189" t="s">
        <v>580</v>
      </c>
      <c r="B1" s="189" t="s">
        <v>581</v>
      </c>
      <c r="C1" s="189" t="s">
        <v>1916</v>
      </c>
      <c r="D1" s="189" t="s">
        <v>582</v>
      </c>
      <c r="E1" s="189" t="s">
        <v>583</v>
      </c>
      <c r="F1" s="189" t="s">
        <v>584</v>
      </c>
      <c r="G1" s="189" t="s">
        <v>585</v>
      </c>
      <c r="H1" s="189" t="s">
        <v>586</v>
      </c>
      <c r="I1" s="189" t="s">
        <v>587</v>
      </c>
      <c r="J1" s="189" t="s">
        <v>588</v>
      </c>
      <c r="K1" s="189" t="s">
        <v>589</v>
      </c>
      <c r="L1" s="189" t="s">
        <v>590</v>
      </c>
      <c r="M1" s="189" t="s">
        <v>591</v>
      </c>
      <c r="N1" s="189" t="s">
        <v>592</v>
      </c>
      <c r="O1" s="189" t="s">
        <v>593</v>
      </c>
      <c r="P1" s="189" t="s">
        <v>594</v>
      </c>
      <c r="Q1" s="189" t="s">
        <v>595</v>
      </c>
      <c r="R1" s="190" t="s">
        <v>596</v>
      </c>
    </row>
    <row r="2" spans="1:18" ht="13.15" customHeight="1" x14ac:dyDescent="0.25">
      <c r="A2" s="192" t="s">
        <v>1008</v>
      </c>
      <c r="B2" s="192" t="s">
        <v>1247</v>
      </c>
      <c r="C2" s="192" t="s">
        <v>1246</v>
      </c>
      <c r="D2" s="192"/>
      <c r="E2" s="192"/>
      <c r="F2" s="193"/>
      <c r="G2" s="193"/>
      <c r="H2" s="192" t="s">
        <v>1248</v>
      </c>
      <c r="I2" s="192" t="s">
        <v>601</v>
      </c>
      <c r="J2" s="192" t="s">
        <v>602</v>
      </c>
      <c r="K2" s="192" t="s">
        <v>603</v>
      </c>
      <c r="L2" s="192" t="s">
        <v>604</v>
      </c>
      <c r="M2" s="192" t="s">
        <v>605</v>
      </c>
      <c r="N2" s="192"/>
      <c r="O2" s="192"/>
      <c r="P2" s="192"/>
      <c r="Q2" s="192"/>
      <c r="R2" s="192" t="s">
        <v>606</v>
      </c>
    </row>
    <row r="3" spans="1:18" ht="13.15" customHeight="1" x14ac:dyDescent="0.25">
      <c r="A3" s="192" t="s">
        <v>1536</v>
      </c>
      <c r="B3" s="192" t="s">
        <v>260</v>
      </c>
      <c r="C3" s="192" t="s">
        <v>1914</v>
      </c>
      <c r="D3" s="192">
        <v>136.9</v>
      </c>
      <c r="E3" s="192">
        <v>195.11</v>
      </c>
      <c r="F3" s="193"/>
      <c r="G3" s="193"/>
      <c r="H3" s="192" t="s">
        <v>1915</v>
      </c>
      <c r="I3" s="192" t="s">
        <v>601</v>
      </c>
      <c r="J3" s="192" t="s">
        <v>602</v>
      </c>
      <c r="K3" s="192" t="s">
        <v>603</v>
      </c>
      <c r="L3" s="192" t="s">
        <v>604</v>
      </c>
      <c r="M3" s="192" t="s">
        <v>605</v>
      </c>
      <c r="N3" s="192"/>
      <c r="O3" s="192"/>
      <c r="P3" s="192" t="s">
        <v>1286</v>
      </c>
      <c r="Q3" s="192" t="s">
        <v>1909</v>
      </c>
      <c r="R3" s="192" t="s">
        <v>629</v>
      </c>
    </row>
    <row r="4" spans="1:18" ht="13.15" customHeight="1" x14ac:dyDescent="0.25">
      <c r="A4" s="192" t="s">
        <v>1536</v>
      </c>
      <c r="B4" s="192" t="s">
        <v>252</v>
      </c>
      <c r="C4" s="192" t="s">
        <v>1912</v>
      </c>
      <c r="D4" s="192">
        <v>30.83</v>
      </c>
      <c r="E4" s="192">
        <v>43.94</v>
      </c>
      <c r="F4" s="193"/>
      <c r="G4" s="193"/>
      <c r="H4" s="192" t="s">
        <v>1913</v>
      </c>
      <c r="I4" s="192" t="s">
        <v>601</v>
      </c>
      <c r="J4" s="192" t="s">
        <v>602</v>
      </c>
      <c r="K4" s="192" t="s">
        <v>603</v>
      </c>
      <c r="L4" s="192" t="s">
        <v>604</v>
      </c>
      <c r="M4" s="192" t="s">
        <v>605</v>
      </c>
      <c r="N4" s="192"/>
      <c r="O4" s="192"/>
      <c r="P4" s="192" t="s">
        <v>1286</v>
      </c>
      <c r="Q4" s="192" t="s">
        <v>1909</v>
      </c>
      <c r="R4" s="192" t="s">
        <v>629</v>
      </c>
    </row>
    <row r="5" spans="1:18" ht="13.15" customHeight="1" x14ac:dyDescent="0.25">
      <c r="A5" s="192" t="s">
        <v>1536</v>
      </c>
      <c r="B5" s="192" t="s">
        <v>250</v>
      </c>
      <c r="C5" s="192" t="s">
        <v>1910</v>
      </c>
      <c r="D5" s="192">
        <v>19.329999999999998</v>
      </c>
      <c r="E5" s="192">
        <v>27.55</v>
      </c>
      <c r="F5" s="193"/>
      <c r="G5" s="193"/>
      <c r="H5" s="192" t="s">
        <v>1911</v>
      </c>
      <c r="I5" s="192" t="s">
        <v>601</v>
      </c>
      <c r="J5" s="192" t="s">
        <v>602</v>
      </c>
      <c r="K5" s="192" t="s">
        <v>603</v>
      </c>
      <c r="L5" s="192" t="s">
        <v>604</v>
      </c>
      <c r="M5" s="192" t="s">
        <v>605</v>
      </c>
      <c r="N5" s="192"/>
      <c r="O5" s="192"/>
      <c r="P5" s="192" t="s">
        <v>1286</v>
      </c>
      <c r="Q5" s="192" t="s">
        <v>1909</v>
      </c>
      <c r="R5" s="192" t="s">
        <v>629</v>
      </c>
    </row>
    <row r="6" spans="1:18" ht="13.15" customHeight="1" x14ac:dyDescent="0.25">
      <c r="A6" s="192" t="s">
        <v>1536</v>
      </c>
      <c r="B6" s="192" t="s">
        <v>258</v>
      </c>
      <c r="C6" s="192" t="s">
        <v>1907</v>
      </c>
      <c r="D6" s="192">
        <v>75.239999999999995</v>
      </c>
      <c r="E6" s="192">
        <v>107.23</v>
      </c>
      <c r="F6" s="193"/>
      <c r="G6" s="193"/>
      <c r="H6" s="192" t="s">
        <v>1908</v>
      </c>
      <c r="I6" s="192" t="s">
        <v>601</v>
      </c>
      <c r="J6" s="192" t="s">
        <v>602</v>
      </c>
      <c r="K6" s="192" t="s">
        <v>603</v>
      </c>
      <c r="L6" s="192" t="s">
        <v>604</v>
      </c>
      <c r="M6" s="192" t="s">
        <v>605</v>
      </c>
      <c r="N6" s="192"/>
      <c r="O6" s="192"/>
      <c r="P6" s="192" t="s">
        <v>1286</v>
      </c>
      <c r="Q6" s="192" t="s">
        <v>1909</v>
      </c>
      <c r="R6" s="192" t="s">
        <v>629</v>
      </c>
    </row>
    <row r="7" spans="1:18" ht="13.15" customHeight="1" x14ac:dyDescent="0.25">
      <c r="A7" s="192" t="s">
        <v>1008</v>
      </c>
      <c r="B7" s="192" t="s">
        <v>1243</v>
      </c>
      <c r="C7" s="192" t="s">
        <v>1242</v>
      </c>
      <c r="D7" s="192"/>
      <c r="E7" s="192"/>
      <c r="F7" s="193"/>
      <c r="G7" s="193"/>
      <c r="H7" s="192" t="s">
        <v>1244</v>
      </c>
      <c r="I7" s="192" t="s">
        <v>601</v>
      </c>
      <c r="J7" s="192" t="s">
        <v>1245</v>
      </c>
      <c r="K7" s="192" t="s">
        <v>603</v>
      </c>
      <c r="L7" s="192" t="s">
        <v>604</v>
      </c>
      <c r="M7" s="192" t="s">
        <v>605</v>
      </c>
      <c r="N7" s="192"/>
      <c r="O7" s="192"/>
      <c r="P7" s="192"/>
      <c r="Q7" s="192"/>
      <c r="R7" s="192" t="s">
        <v>649</v>
      </c>
    </row>
    <row r="8" spans="1:18" ht="13.15" customHeight="1" x14ac:dyDescent="0.25">
      <c r="A8" s="192" t="s">
        <v>1536</v>
      </c>
      <c r="B8" s="192" t="s">
        <v>1905</v>
      </c>
      <c r="C8" s="192" t="s">
        <v>1904</v>
      </c>
      <c r="D8" s="192"/>
      <c r="E8" s="192"/>
      <c r="F8" s="193"/>
      <c r="G8" s="193"/>
      <c r="H8" s="192" t="s">
        <v>1906</v>
      </c>
      <c r="I8" s="192" t="s">
        <v>601</v>
      </c>
      <c r="J8" s="192" t="s">
        <v>628</v>
      </c>
      <c r="K8" s="192" t="s">
        <v>668</v>
      </c>
      <c r="L8" s="192" t="s">
        <v>1431</v>
      </c>
      <c r="M8" s="192" t="s">
        <v>605</v>
      </c>
      <c r="N8" s="192" t="s">
        <v>623</v>
      </c>
      <c r="O8" s="192"/>
      <c r="P8" s="192"/>
      <c r="Q8" s="192"/>
      <c r="R8" s="192" t="s">
        <v>629</v>
      </c>
    </row>
    <row r="9" spans="1:18" ht="13.15" customHeight="1" x14ac:dyDescent="0.25">
      <c r="A9" s="192" t="s">
        <v>1536</v>
      </c>
      <c r="B9" s="192" t="s">
        <v>1898</v>
      </c>
      <c r="C9" s="192" t="s">
        <v>1897</v>
      </c>
      <c r="D9" s="192"/>
      <c r="E9" s="192"/>
      <c r="F9" s="193"/>
      <c r="G9" s="193"/>
      <c r="H9" s="192" t="s">
        <v>1899</v>
      </c>
      <c r="I9" s="192" t="s">
        <v>601</v>
      </c>
      <c r="J9" s="192" t="s">
        <v>628</v>
      </c>
      <c r="K9" s="192" t="s">
        <v>603</v>
      </c>
      <c r="L9" s="192" t="s">
        <v>604</v>
      </c>
      <c r="M9" s="192" t="s">
        <v>605</v>
      </c>
      <c r="N9" s="192" t="s">
        <v>623</v>
      </c>
      <c r="O9" s="192"/>
      <c r="P9" s="192"/>
      <c r="Q9" s="192"/>
      <c r="R9" s="192" t="s">
        <v>1783</v>
      </c>
    </row>
    <row r="10" spans="1:18" ht="13.15" customHeight="1" x14ac:dyDescent="0.25">
      <c r="A10" s="192" t="s">
        <v>1536</v>
      </c>
      <c r="B10" s="192" t="s">
        <v>1895</v>
      </c>
      <c r="C10" s="192" t="s">
        <v>1894</v>
      </c>
      <c r="D10" s="192"/>
      <c r="E10" s="192"/>
      <c r="F10" s="193"/>
      <c r="G10" s="193"/>
      <c r="H10" s="192" t="s">
        <v>1896</v>
      </c>
      <c r="I10" s="192" t="s">
        <v>601</v>
      </c>
      <c r="J10" s="192" t="s">
        <v>628</v>
      </c>
      <c r="K10" s="192" t="s">
        <v>603</v>
      </c>
      <c r="L10" s="192" t="s">
        <v>604</v>
      </c>
      <c r="M10" s="192" t="s">
        <v>605</v>
      </c>
      <c r="N10" s="192" t="s">
        <v>623</v>
      </c>
      <c r="O10" s="192"/>
      <c r="P10" s="192"/>
      <c r="Q10" s="192"/>
      <c r="R10" s="192" t="s">
        <v>1783</v>
      </c>
    </row>
    <row r="11" spans="1:18" ht="13.15" customHeight="1" x14ac:dyDescent="0.25">
      <c r="A11" s="192" t="s">
        <v>1536</v>
      </c>
      <c r="B11" s="192" t="s">
        <v>1892</v>
      </c>
      <c r="C11" s="192" t="s">
        <v>1891</v>
      </c>
      <c r="D11" s="192"/>
      <c r="E11" s="192"/>
      <c r="F11" s="193"/>
      <c r="G11" s="193"/>
      <c r="H11" s="192" t="s">
        <v>1893</v>
      </c>
      <c r="I11" s="192" t="s">
        <v>601</v>
      </c>
      <c r="J11" s="192" t="s">
        <v>628</v>
      </c>
      <c r="K11" s="192" t="s">
        <v>603</v>
      </c>
      <c r="L11" s="192" t="s">
        <v>604</v>
      </c>
      <c r="M11" s="192" t="s">
        <v>605</v>
      </c>
      <c r="N11" s="192" t="s">
        <v>616</v>
      </c>
      <c r="O11" s="192"/>
      <c r="P11" s="192"/>
      <c r="Q11" s="192"/>
      <c r="R11" s="192" t="s">
        <v>1783</v>
      </c>
    </row>
    <row r="12" spans="1:18" ht="13.15" customHeight="1" x14ac:dyDescent="0.25">
      <c r="A12" s="192" t="s">
        <v>597</v>
      </c>
      <c r="B12" s="192" t="s">
        <v>682</v>
      </c>
      <c r="C12" s="192" t="s">
        <v>681</v>
      </c>
      <c r="D12" s="192"/>
      <c r="E12" s="192"/>
      <c r="F12" s="193"/>
      <c r="G12" s="193"/>
      <c r="H12" s="192" t="s">
        <v>683</v>
      </c>
      <c r="I12" s="192" t="s">
        <v>601</v>
      </c>
      <c r="J12" s="192" t="s">
        <v>628</v>
      </c>
      <c r="K12" s="192" t="s">
        <v>603</v>
      </c>
      <c r="L12" s="192" t="s">
        <v>604</v>
      </c>
      <c r="M12" s="192" t="s">
        <v>605</v>
      </c>
      <c r="N12" s="192" t="s">
        <v>641</v>
      </c>
      <c r="O12" s="192" t="s">
        <v>684</v>
      </c>
      <c r="P12" s="192"/>
      <c r="Q12" s="192"/>
      <c r="R12" s="192" t="s">
        <v>649</v>
      </c>
    </row>
    <row r="13" spans="1:18" ht="13.15" customHeight="1" x14ac:dyDescent="0.25">
      <c r="A13" s="192" t="s">
        <v>1536</v>
      </c>
      <c r="B13" s="192" t="s">
        <v>1889</v>
      </c>
      <c r="C13" s="192" t="s">
        <v>1888</v>
      </c>
      <c r="D13" s="192"/>
      <c r="E13" s="192"/>
      <c r="F13" s="193"/>
      <c r="G13" s="193"/>
      <c r="H13" s="192" t="s">
        <v>1890</v>
      </c>
      <c r="I13" s="192" t="s">
        <v>601</v>
      </c>
      <c r="J13" s="192" t="s">
        <v>628</v>
      </c>
      <c r="K13" s="192" t="s">
        <v>603</v>
      </c>
      <c r="L13" s="192" t="s">
        <v>604</v>
      </c>
      <c r="M13" s="192" t="s">
        <v>605</v>
      </c>
      <c r="N13" s="192" t="s">
        <v>641</v>
      </c>
      <c r="O13" s="192"/>
      <c r="P13" s="192"/>
      <c r="Q13" s="192"/>
      <c r="R13" s="192" t="s">
        <v>649</v>
      </c>
    </row>
    <row r="14" spans="1:18" ht="13.15" customHeight="1" x14ac:dyDescent="0.25">
      <c r="A14" s="192" t="s">
        <v>597</v>
      </c>
      <c r="B14" s="192" t="s">
        <v>679</v>
      </c>
      <c r="C14" s="192" t="s">
        <v>678</v>
      </c>
      <c r="D14" s="192">
        <v>7.17</v>
      </c>
      <c r="E14" s="192">
        <v>10.220000000000001</v>
      </c>
      <c r="F14" s="193"/>
      <c r="G14" s="193"/>
      <c r="H14" s="192" t="s">
        <v>680</v>
      </c>
      <c r="I14" s="192" t="s">
        <v>601</v>
      </c>
      <c r="J14" s="192" t="s">
        <v>628</v>
      </c>
      <c r="K14" s="192" t="s">
        <v>603</v>
      </c>
      <c r="L14" s="192" t="s">
        <v>604</v>
      </c>
      <c r="M14" s="192" t="s">
        <v>605</v>
      </c>
      <c r="N14" s="192" t="s">
        <v>641</v>
      </c>
      <c r="O14" s="192"/>
      <c r="P14" s="192"/>
      <c r="Q14" s="192"/>
      <c r="R14" s="192" t="s">
        <v>649</v>
      </c>
    </row>
    <row r="15" spans="1:18" ht="13.15" customHeight="1" x14ac:dyDescent="0.25">
      <c r="A15" s="192" t="s">
        <v>597</v>
      </c>
      <c r="B15" s="192" t="s">
        <v>676</v>
      </c>
      <c r="C15" s="192" t="s">
        <v>675</v>
      </c>
      <c r="D15" s="192"/>
      <c r="E15" s="192"/>
      <c r="F15" s="193"/>
      <c r="G15" s="193"/>
      <c r="H15" s="192" t="s">
        <v>677</v>
      </c>
      <c r="I15" s="192" t="s">
        <v>601</v>
      </c>
      <c r="J15" s="192" t="s">
        <v>628</v>
      </c>
      <c r="K15" s="192" t="s">
        <v>603</v>
      </c>
      <c r="L15" s="192" t="s">
        <v>604</v>
      </c>
      <c r="M15" s="192" t="s">
        <v>605</v>
      </c>
      <c r="N15" s="192" t="s">
        <v>623</v>
      </c>
      <c r="O15" s="192"/>
      <c r="P15" s="192"/>
      <c r="Q15" s="192"/>
      <c r="R15" s="192" t="s">
        <v>649</v>
      </c>
    </row>
    <row r="16" spans="1:18" ht="13.15" customHeight="1" x14ac:dyDescent="0.25">
      <c r="A16" s="192" t="s">
        <v>597</v>
      </c>
      <c r="B16" s="192" t="s">
        <v>673</v>
      </c>
      <c r="C16" s="192" t="s">
        <v>672</v>
      </c>
      <c r="D16" s="192"/>
      <c r="E16" s="192"/>
      <c r="F16" s="193"/>
      <c r="G16" s="193"/>
      <c r="H16" s="192" t="s">
        <v>674</v>
      </c>
      <c r="I16" s="192" t="s">
        <v>601</v>
      </c>
      <c r="J16" s="192" t="s">
        <v>628</v>
      </c>
      <c r="K16" s="192" t="s">
        <v>603</v>
      </c>
      <c r="L16" s="192" t="s">
        <v>604</v>
      </c>
      <c r="M16" s="192" t="s">
        <v>605</v>
      </c>
      <c r="N16" s="192" t="s">
        <v>623</v>
      </c>
      <c r="O16" s="192" t="s">
        <v>641</v>
      </c>
      <c r="P16" s="192"/>
      <c r="Q16" s="192"/>
      <c r="R16" s="192" t="s">
        <v>649</v>
      </c>
    </row>
    <row r="17" spans="1:18" ht="13.15" customHeight="1" x14ac:dyDescent="0.25">
      <c r="A17" s="192" t="s">
        <v>597</v>
      </c>
      <c r="B17" s="192" t="s">
        <v>670</v>
      </c>
      <c r="C17" s="192" t="s">
        <v>669</v>
      </c>
      <c r="D17" s="192">
        <v>6.61</v>
      </c>
      <c r="E17" s="192">
        <v>9.42</v>
      </c>
      <c r="F17" s="193"/>
      <c r="G17" s="193"/>
      <c r="H17" s="192" t="s">
        <v>671</v>
      </c>
      <c r="I17" s="192" t="s">
        <v>601</v>
      </c>
      <c r="J17" s="192" t="s">
        <v>628</v>
      </c>
      <c r="K17" s="192" t="s">
        <v>603</v>
      </c>
      <c r="L17" s="192" t="s">
        <v>604</v>
      </c>
      <c r="M17" s="192" t="s">
        <v>605</v>
      </c>
      <c r="N17" s="192" t="s">
        <v>623</v>
      </c>
      <c r="O17" s="192"/>
      <c r="P17" s="192"/>
      <c r="Q17" s="192"/>
      <c r="R17" s="192" t="s">
        <v>649</v>
      </c>
    </row>
    <row r="18" spans="1:18" ht="13.15" customHeight="1" x14ac:dyDescent="0.25">
      <c r="A18" s="192" t="s">
        <v>597</v>
      </c>
      <c r="B18" s="192" t="s">
        <v>666</v>
      </c>
      <c r="C18" s="192" t="s">
        <v>665</v>
      </c>
      <c r="D18" s="192">
        <v>425.32</v>
      </c>
      <c r="E18" s="192">
        <v>606.16999999999996</v>
      </c>
      <c r="F18" s="193"/>
      <c r="G18" s="193"/>
      <c r="H18" s="192" t="s">
        <v>667</v>
      </c>
      <c r="I18" s="192" t="s">
        <v>601</v>
      </c>
      <c r="J18" s="192" t="s">
        <v>628</v>
      </c>
      <c r="K18" s="192" t="s">
        <v>668</v>
      </c>
      <c r="L18" s="192" t="s">
        <v>604</v>
      </c>
      <c r="M18" s="192" t="s">
        <v>605</v>
      </c>
      <c r="N18" s="192" t="s">
        <v>616</v>
      </c>
      <c r="O18" s="192"/>
      <c r="P18" s="192"/>
      <c r="Q18" s="192"/>
      <c r="R18" s="192" t="s">
        <v>649</v>
      </c>
    </row>
    <row r="19" spans="1:18" ht="13.15" customHeight="1" x14ac:dyDescent="0.25">
      <c r="A19" s="192" t="s">
        <v>597</v>
      </c>
      <c r="B19" s="192" t="s">
        <v>663</v>
      </c>
      <c r="C19" s="192" t="s">
        <v>662</v>
      </c>
      <c r="D19" s="192"/>
      <c r="E19" s="192"/>
      <c r="F19" s="193"/>
      <c r="G19" s="193"/>
      <c r="H19" s="192" t="s">
        <v>664</v>
      </c>
      <c r="I19" s="192" t="s">
        <v>601</v>
      </c>
      <c r="J19" s="192" t="s">
        <v>628</v>
      </c>
      <c r="K19" s="192" t="s">
        <v>603</v>
      </c>
      <c r="L19" s="192" t="s">
        <v>604</v>
      </c>
      <c r="M19" s="192" t="s">
        <v>605</v>
      </c>
      <c r="N19" s="192"/>
      <c r="O19" s="192"/>
      <c r="P19" s="192"/>
      <c r="Q19" s="192"/>
      <c r="R19" s="192" t="s">
        <v>649</v>
      </c>
    </row>
    <row r="20" spans="1:18" ht="13.15" customHeight="1" x14ac:dyDescent="0.25">
      <c r="A20" s="192" t="s">
        <v>597</v>
      </c>
      <c r="B20" s="192" t="s">
        <v>660</v>
      </c>
      <c r="C20" s="192" t="s">
        <v>659</v>
      </c>
      <c r="D20" s="192"/>
      <c r="E20" s="192"/>
      <c r="F20" s="193"/>
      <c r="G20" s="193"/>
      <c r="H20" s="192" t="s">
        <v>661</v>
      </c>
      <c r="I20" s="192" t="s">
        <v>601</v>
      </c>
      <c r="J20" s="192" t="s">
        <v>628</v>
      </c>
      <c r="K20" s="192" t="s">
        <v>603</v>
      </c>
      <c r="L20" s="192" t="s">
        <v>604</v>
      </c>
      <c r="M20" s="192" t="s">
        <v>605</v>
      </c>
      <c r="N20" s="192"/>
      <c r="O20" s="192"/>
      <c r="P20" s="192"/>
      <c r="Q20" s="192"/>
      <c r="R20" s="192" t="s">
        <v>649</v>
      </c>
    </row>
    <row r="21" spans="1:18" ht="13.15" customHeight="1" x14ac:dyDescent="0.25">
      <c r="A21" s="192" t="s">
        <v>597</v>
      </c>
      <c r="B21" s="192" t="s">
        <v>657</v>
      </c>
      <c r="C21" s="192" t="s">
        <v>656</v>
      </c>
      <c r="D21" s="192"/>
      <c r="E21" s="192"/>
      <c r="F21" s="193"/>
      <c r="G21" s="193"/>
      <c r="H21" s="192" t="s">
        <v>658</v>
      </c>
      <c r="I21" s="192" t="s">
        <v>601</v>
      </c>
      <c r="J21" s="192" t="s">
        <v>628</v>
      </c>
      <c r="K21" s="192" t="s">
        <v>603</v>
      </c>
      <c r="L21" s="192" t="s">
        <v>604</v>
      </c>
      <c r="M21" s="192" t="s">
        <v>605</v>
      </c>
      <c r="N21" s="192"/>
      <c r="O21" s="192"/>
      <c r="P21" s="192"/>
      <c r="Q21" s="192"/>
      <c r="R21" s="192" t="s">
        <v>649</v>
      </c>
    </row>
    <row r="22" spans="1:18" ht="13.15" customHeight="1" x14ac:dyDescent="0.25">
      <c r="A22" s="192" t="s">
        <v>597</v>
      </c>
      <c r="B22" s="192" t="s">
        <v>654</v>
      </c>
      <c r="C22" s="192" t="s">
        <v>653</v>
      </c>
      <c r="D22" s="192"/>
      <c r="E22" s="192"/>
      <c r="F22" s="193"/>
      <c r="G22" s="193"/>
      <c r="H22" s="192" t="s">
        <v>655</v>
      </c>
      <c r="I22" s="192" t="s">
        <v>601</v>
      </c>
      <c r="J22" s="192" t="s">
        <v>628</v>
      </c>
      <c r="K22" s="192" t="s">
        <v>603</v>
      </c>
      <c r="L22" s="192" t="s">
        <v>604</v>
      </c>
      <c r="M22" s="192" t="s">
        <v>605</v>
      </c>
      <c r="N22" s="192"/>
      <c r="O22" s="192"/>
      <c r="P22" s="192"/>
      <c r="Q22" s="192"/>
      <c r="R22" s="192" t="s">
        <v>649</v>
      </c>
    </row>
    <row r="23" spans="1:18" ht="13.15" customHeight="1" x14ac:dyDescent="0.25">
      <c r="A23" s="192" t="s">
        <v>597</v>
      </c>
      <c r="B23" s="192" t="s">
        <v>651</v>
      </c>
      <c r="C23" s="192" t="s">
        <v>650</v>
      </c>
      <c r="D23" s="192"/>
      <c r="E23" s="192"/>
      <c r="F23" s="193"/>
      <c r="G23" s="193"/>
      <c r="H23" s="192" t="s">
        <v>652</v>
      </c>
      <c r="I23" s="192" t="s">
        <v>601</v>
      </c>
      <c r="J23" s="192" t="s">
        <v>628</v>
      </c>
      <c r="K23" s="192" t="s">
        <v>603</v>
      </c>
      <c r="L23" s="192" t="s">
        <v>604</v>
      </c>
      <c r="M23" s="192" t="s">
        <v>605</v>
      </c>
      <c r="N23" s="192"/>
      <c r="O23" s="192"/>
      <c r="P23" s="192"/>
      <c r="Q23" s="192"/>
      <c r="R23" s="192" t="s">
        <v>649</v>
      </c>
    </row>
    <row r="24" spans="1:18" ht="13.15" customHeight="1" x14ac:dyDescent="0.25">
      <c r="A24" s="192" t="s">
        <v>597</v>
      </c>
      <c r="B24" s="192" t="s">
        <v>647</v>
      </c>
      <c r="C24" s="192" t="s">
        <v>646</v>
      </c>
      <c r="D24" s="192"/>
      <c r="E24" s="192"/>
      <c r="F24" s="193"/>
      <c r="G24" s="193"/>
      <c r="H24" s="192" t="s">
        <v>648</v>
      </c>
      <c r="I24" s="192" t="s">
        <v>601</v>
      </c>
      <c r="J24" s="192" t="s">
        <v>628</v>
      </c>
      <c r="K24" s="192" t="s">
        <v>603</v>
      </c>
      <c r="L24" s="192" t="s">
        <v>604</v>
      </c>
      <c r="M24" s="192" t="s">
        <v>605</v>
      </c>
      <c r="N24" s="192" t="s">
        <v>616</v>
      </c>
      <c r="O24" s="192"/>
      <c r="P24" s="192"/>
      <c r="Q24" s="192"/>
      <c r="R24" s="192" t="s">
        <v>649</v>
      </c>
    </row>
    <row r="25" spans="1:18" ht="13.15" customHeight="1" x14ac:dyDescent="0.25">
      <c r="A25" s="192" t="s">
        <v>597</v>
      </c>
      <c r="B25" s="194"/>
      <c r="C25" s="192" t="s">
        <v>644</v>
      </c>
      <c r="D25" s="192"/>
      <c r="E25" s="192"/>
      <c r="F25" s="193"/>
      <c r="G25" s="193"/>
      <c r="H25" s="192" t="s">
        <v>645</v>
      </c>
      <c r="I25" s="192" t="s">
        <v>601</v>
      </c>
      <c r="J25" s="192" t="s">
        <v>628</v>
      </c>
      <c r="K25" s="192" t="s">
        <v>603</v>
      </c>
      <c r="L25" s="192" t="s">
        <v>604</v>
      </c>
      <c r="M25" s="192" t="s">
        <v>605</v>
      </c>
      <c r="N25" s="192" t="s">
        <v>623</v>
      </c>
      <c r="O25" s="192"/>
      <c r="P25" s="192"/>
      <c r="Q25" s="192"/>
      <c r="R25" s="192" t="s">
        <v>606</v>
      </c>
    </row>
    <row r="26" spans="1:18" ht="13.15" customHeight="1" x14ac:dyDescent="0.25">
      <c r="A26" s="192" t="s">
        <v>597</v>
      </c>
      <c r="B26" s="194"/>
      <c r="C26" s="192" t="s">
        <v>642</v>
      </c>
      <c r="D26" s="192"/>
      <c r="E26" s="192"/>
      <c r="F26" s="193"/>
      <c r="G26" s="193"/>
      <c r="H26" s="192" t="s">
        <v>643</v>
      </c>
      <c r="I26" s="192" t="s">
        <v>601</v>
      </c>
      <c r="J26" s="192" t="s">
        <v>628</v>
      </c>
      <c r="K26" s="192" t="s">
        <v>603</v>
      </c>
      <c r="L26" s="192" t="s">
        <v>604</v>
      </c>
      <c r="M26" s="192" t="s">
        <v>605</v>
      </c>
      <c r="N26" s="192" t="s">
        <v>641</v>
      </c>
      <c r="O26" s="192"/>
      <c r="P26" s="192"/>
      <c r="Q26" s="192"/>
      <c r="R26" s="192" t="s">
        <v>606</v>
      </c>
    </row>
    <row r="27" spans="1:18" ht="13.15" customHeight="1" x14ac:dyDescent="0.25">
      <c r="A27" s="192" t="s">
        <v>597</v>
      </c>
      <c r="B27" s="194"/>
      <c r="C27" s="192" t="s">
        <v>639</v>
      </c>
      <c r="D27" s="192"/>
      <c r="E27" s="192"/>
      <c r="F27" s="193"/>
      <c r="G27" s="193"/>
      <c r="H27" s="192" t="s">
        <v>640</v>
      </c>
      <c r="I27" s="192" t="s">
        <v>601</v>
      </c>
      <c r="J27" s="192" t="s">
        <v>628</v>
      </c>
      <c r="K27" s="192" t="s">
        <v>603</v>
      </c>
      <c r="L27" s="192" t="s">
        <v>604</v>
      </c>
      <c r="M27" s="192" t="s">
        <v>605</v>
      </c>
      <c r="N27" s="192" t="s">
        <v>641</v>
      </c>
      <c r="O27" s="192"/>
      <c r="P27" s="192"/>
      <c r="Q27" s="192"/>
      <c r="R27" s="192" t="s">
        <v>606</v>
      </c>
    </row>
    <row r="28" spans="1:18" ht="13.15" customHeight="1" x14ac:dyDescent="0.25">
      <c r="A28" s="192" t="s">
        <v>597</v>
      </c>
      <c r="B28" s="194"/>
      <c r="C28" s="192" t="s">
        <v>637</v>
      </c>
      <c r="D28" s="192"/>
      <c r="E28" s="192"/>
      <c r="F28" s="193"/>
      <c r="G28" s="193"/>
      <c r="H28" s="192" t="s">
        <v>638</v>
      </c>
      <c r="I28" s="192" t="s">
        <v>601</v>
      </c>
      <c r="J28" s="192" t="s">
        <v>628</v>
      </c>
      <c r="K28" s="192" t="s">
        <v>603</v>
      </c>
      <c r="L28" s="192" t="s">
        <v>604</v>
      </c>
      <c r="M28" s="192" t="s">
        <v>605</v>
      </c>
      <c r="N28" s="192" t="s">
        <v>623</v>
      </c>
      <c r="O28" s="192"/>
      <c r="P28" s="192"/>
      <c r="Q28" s="192"/>
      <c r="R28" s="192" t="s">
        <v>606</v>
      </c>
    </row>
    <row r="29" spans="1:18" ht="13.15" customHeight="1" x14ac:dyDescent="0.25">
      <c r="A29" s="192" t="s">
        <v>1536</v>
      </c>
      <c r="B29" s="192" t="s">
        <v>1883</v>
      </c>
      <c r="C29" s="192" t="s">
        <v>1882</v>
      </c>
      <c r="D29" s="192"/>
      <c r="E29" s="192"/>
      <c r="F29" s="193"/>
      <c r="G29" s="193"/>
      <c r="H29" s="192" t="s">
        <v>1884</v>
      </c>
      <c r="I29" s="192" t="s">
        <v>601</v>
      </c>
      <c r="J29" s="192" t="s">
        <v>628</v>
      </c>
      <c r="K29" s="192" t="s">
        <v>603</v>
      </c>
      <c r="L29" s="192" t="s">
        <v>604</v>
      </c>
      <c r="M29" s="192" t="s">
        <v>605</v>
      </c>
      <c r="N29" s="192" t="s">
        <v>623</v>
      </c>
      <c r="O29" s="192"/>
      <c r="P29" s="192"/>
      <c r="Q29" s="192"/>
      <c r="R29" s="192" t="s">
        <v>606</v>
      </c>
    </row>
    <row r="30" spans="1:18" ht="13.15" customHeight="1" x14ac:dyDescent="0.25">
      <c r="A30" s="192" t="s">
        <v>1536</v>
      </c>
      <c r="B30" s="192" t="s">
        <v>1886</v>
      </c>
      <c r="C30" s="192" t="s">
        <v>1885</v>
      </c>
      <c r="D30" s="192"/>
      <c r="E30" s="192"/>
      <c r="F30" s="193"/>
      <c r="G30" s="193"/>
      <c r="H30" s="192" t="s">
        <v>1887</v>
      </c>
      <c r="I30" s="192" t="s">
        <v>601</v>
      </c>
      <c r="J30" s="192" t="s">
        <v>628</v>
      </c>
      <c r="K30" s="192" t="s">
        <v>603</v>
      </c>
      <c r="L30" s="192" t="s">
        <v>604</v>
      </c>
      <c r="M30" s="192" t="s">
        <v>605</v>
      </c>
      <c r="N30" s="192" t="s">
        <v>623</v>
      </c>
      <c r="O30" s="192"/>
      <c r="P30" s="192"/>
      <c r="Q30" s="192"/>
      <c r="R30" s="192" t="s">
        <v>606</v>
      </c>
    </row>
    <row r="31" spans="1:18" ht="13.15" customHeight="1" x14ac:dyDescent="0.25">
      <c r="A31" s="192" t="s">
        <v>597</v>
      </c>
      <c r="B31" s="194"/>
      <c r="C31" s="192" t="s">
        <v>635</v>
      </c>
      <c r="D31" s="192"/>
      <c r="E31" s="192"/>
      <c r="F31" s="193"/>
      <c r="G31" s="193"/>
      <c r="H31" s="192" t="s">
        <v>636</v>
      </c>
      <c r="I31" s="192" t="s">
        <v>601</v>
      </c>
      <c r="J31" s="192" t="s">
        <v>628</v>
      </c>
      <c r="K31" s="192" t="s">
        <v>603</v>
      </c>
      <c r="L31" s="192" t="s">
        <v>604</v>
      </c>
      <c r="M31" s="192" t="s">
        <v>605</v>
      </c>
      <c r="N31" s="192" t="s">
        <v>623</v>
      </c>
      <c r="O31" s="192"/>
      <c r="P31" s="192"/>
      <c r="Q31" s="192"/>
      <c r="R31" s="192" t="s">
        <v>606</v>
      </c>
    </row>
    <row r="32" spans="1:18" ht="13.15" customHeight="1" x14ac:dyDescent="0.25">
      <c r="A32" s="192" t="s">
        <v>597</v>
      </c>
      <c r="B32" s="194"/>
      <c r="C32" s="192" t="s">
        <v>633</v>
      </c>
      <c r="D32" s="192"/>
      <c r="E32" s="192"/>
      <c r="F32" s="193"/>
      <c r="G32" s="193"/>
      <c r="H32" s="192" t="s">
        <v>634</v>
      </c>
      <c r="I32" s="192" t="s">
        <v>601</v>
      </c>
      <c r="J32" s="192" t="s">
        <v>628</v>
      </c>
      <c r="K32" s="192" t="s">
        <v>603</v>
      </c>
      <c r="L32" s="192" t="s">
        <v>604</v>
      </c>
      <c r="M32" s="192" t="s">
        <v>605</v>
      </c>
      <c r="N32" s="192" t="s">
        <v>623</v>
      </c>
      <c r="O32" s="192"/>
      <c r="P32" s="192"/>
      <c r="Q32" s="192"/>
      <c r="R32" s="192" t="s">
        <v>606</v>
      </c>
    </row>
    <row r="33" spans="1:18" ht="13.15" customHeight="1" x14ac:dyDescent="0.25">
      <c r="A33" s="192" t="s">
        <v>1008</v>
      </c>
      <c r="B33" s="194"/>
      <c r="C33" s="192" t="s">
        <v>1230</v>
      </c>
      <c r="D33" s="192"/>
      <c r="E33" s="192"/>
      <c r="F33" s="193"/>
      <c r="G33" s="193"/>
      <c r="H33" s="192" t="s">
        <v>1231</v>
      </c>
      <c r="I33" s="192" t="s">
        <v>601</v>
      </c>
      <c r="J33" s="192" t="s">
        <v>628</v>
      </c>
      <c r="K33" s="192" t="s">
        <v>603</v>
      </c>
      <c r="L33" s="192" t="s">
        <v>604</v>
      </c>
      <c r="M33" s="192" t="s">
        <v>605</v>
      </c>
      <c r="N33" s="192"/>
      <c r="O33" s="192"/>
      <c r="P33" s="192"/>
      <c r="Q33" s="192"/>
      <c r="R33" s="192" t="s">
        <v>606</v>
      </c>
    </row>
    <row r="34" spans="1:18" ht="13.15" customHeight="1" x14ac:dyDescent="0.25">
      <c r="A34" s="192" t="s">
        <v>1008</v>
      </c>
      <c r="B34" s="194"/>
      <c r="C34" s="192" t="s">
        <v>1228</v>
      </c>
      <c r="D34" s="192"/>
      <c r="E34" s="192"/>
      <c r="F34" s="193"/>
      <c r="G34" s="193"/>
      <c r="H34" s="192" t="s">
        <v>1229</v>
      </c>
      <c r="I34" s="192" t="s">
        <v>601</v>
      </c>
      <c r="J34" s="192" t="s">
        <v>628</v>
      </c>
      <c r="K34" s="192" t="s">
        <v>603</v>
      </c>
      <c r="L34" s="192" t="s">
        <v>604</v>
      </c>
      <c r="M34" s="192" t="s">
        <v>605</v>
      </c>
      <c r="N34" s="192"/>
      <c r="O34" s="192"/>
      <c r="P34" s="192"/>
      <c r="Q34" s="192"/>
      <c r="R34" s="192" t="s">
        <v>606</v>
      </c>
    </row>
    <row r="35" spans="1:18" ht="13.15" customHeight="1" x14ac:dyDescent="0.25">
      <c r="A35" s="192" t="s">
        <v>1008</v>
      </c>
      <c r="B35" s="194"/>
      <c r="C35" s="192" t="s">
        <v>1226</v>
      </c>
      <c r="D35" s="192"/>
      <c r="E35" s="192"/>
      <c r="F35" s="193"/>
      <c r="G35" s="193"/>
      <c r="H35" s="192" t="s">
        <v>1227</v>
      </c>
      <c r="I35" s="192" t="s">
        <v>601</v>
      </c>
      <c r="J35" s="192" t="s">
        <v>628</v>
      </c>
      <c r="K35" s="192" t="s">
        <v>603</v>
      </c>
      <c r="L35" s="192" t="s">
        <v>604</v>
      </c>
      <c r="M35" s="192" t="s">
        <v>605</v>
      </c>
      <c r="N35" s="192"/>
      <c r="O35" s="192"/>
      <c r="P35" s="192"/>
      <c r="Q35" s="192"/>
      <c r="R35" s="192" t="s">
        <v>606</v>
      </c>
    </row>
    <row r="36" spans="1:18" ht="13.15" customHeight="1" x14ac:dyDescent="0.25">
      <c r="A36" s="192" t="s">
        <v>1008</v>
      </c>
      <c r="B36" s="194"/>
      <c r="C36" s="192" t="s">
        <v>1224</v>
      </c>
      <c r="D36" s="192"/>
      <c r="E36" s="192"/>
      <c r="F36" s="193"/>
      <c r="G36" s="193"/>
      <c r="H36" s="192" t="s">
        <v>1225</v>
      </c>
      <c r="I36" s="192" t="s">
        <v>601</v>
      </c>
      <c r="J36" s="192" t="s">
        <v>628</v>
      </c>
      <c r="K36" s="192" t="s">
        <v>603</v>
      </c>
      <c r="L36" s="192" t="s">
        <v>604</v>
      </c>
      <c r="M36" s="192" t="s">
        <v>605</v>
      </c>
      <c r="N36" s="192"/>
      <c r="O36" s="192"/>
      <c r="P36" s="192"/>
      <c r="Q36" s="192"/>
      <c r="R36" s="192" t="s">
        <v>606</v>
      </c>
    </row>
    <row r="37" spans="1:18" ht="13.15" customHeight="1" x14ac:dyDescent="0.25">
      <c r="A37" s="192" t="s">
        <v>597</v>
      </c>
      <c r="B37" s="194"/>
      <c r="C37" s="192" t="s">
        <v>630</v>
      </c>
      <c r="D37" s="192"/>
      <c r="E37" s="192"/>
      <c r="F37" s="193"/>
      <c r="G37" s="193"/>
      <c r="H37" s="192" t="s">
        <v>631</v>
      </c>
      <c r="I37" s="192" t="s">
        <v>601</v>
      </c>
      <c r="J37" s="192" t="s">
        <v>628</v>
      </c>
      <c r="K37" s="192" t="s">
        <v>603</v>
      </c>
      <c r="L37" s="192" t="s">
        <v>604</v>
      </c>
      <c r="M37" s="192" t="s">
        <v>605</v>
      </c>
      <c r="N37" s="192" t="s">
        <v>632</v>
      </c>
      <c r="O37" s="192"/>
      <c r="P37" s="192"/>
      <c r="Q37" s="192"/>
      <c r="R37" s="192" t="s">
        <v>606</v>
      </c>
    </row>
    <row r="38" spans="1:18" ht="13.15" customHeight="1" x14ac:dyDescent="0.25">
      <c r="A38" s="192" t="s">
        <v>1008</v>
      </c>
      <c r="B38" s="194"/>
      <c r="C38" s="192" t="s">
        <v>1223</v>
      </c>
      <c r="D38" s="192"/>
      <c r="E38" s="192"/>
      <c r="F38" s="193"/>
      <c r="G38" s="193"/>
      <c r="H38" s="192" t="s">
        <v>1010</v>
      </c>
      <c r="I38" s="192" t="s">
        <v>601</v>
      </c>
      <c r="J38" s="192" t="s">
        <v>628</v>
      </c>
      <c r="K38" s="192" t="s">
        <v>603</v>
      </c>
      <c r="L38" s="192" t="s">
        <v>604</v>
      </c>
      <c r="M38" s="192" t="s">
        <v>605</v>
      </c>
      <c r="N38" s="192"/>
      <c r="O38" s="192"/>
      <c r="P38" s="192"/>
      <c r="Q38" s="192"/>
      <c r="R38" s="192" t="s">
        <v>606</v>
      </c>
    </row>
    <row r="39" spans="1:18" ht="13.15" customHeight="1" x14ac:dyDescent="0.25">
      <c r="A39" s="192" t="s">
        <v>1008</v>
      </c>
      <c r="B39" s="194"/>
      <c r="C39" s="192" t="s">
        <v>1221</v>
      </c>
      <c r="D39" s="192"/>
      <c r="E39" s="192"/>
      <c r="F39" s="193"/>
      <c r="G39" s="193"/>
      <c r="H39" s="192" t="s">
        <v>1222</v>
      </c>
      <c r="I39" s="192" t="s">
        <v>601</v>
      </c>
      <c r="J39" s="192" t="s">
        <v>628</v>
      </c>
      <c r="K39" s="192" t="s">
        <v>603</v>
      </c>
      <c r="L39" s="192" t="s">
        <v>604</v>
      </c>
      <c r="M39" s="192" t="s">
        <v>605</v>
      </c>
      <c r="N39" s="192"/>
      <c r="O39" s="192"/>
      <c r="P39" s="192"/>
      <c r="Q39" s="192"/>
      <c r="R39" s="192" t="s">
        <v>606</v>
      </c>
    </row>
    <row r="40" spans="1:18" ht="13.15" customHeight="1" x14ac:dyDescent="0.25">
      <c r="A40" s="192" t="s">
        <v>1008</v>
      </c>
      <c r="B40" s="194"/>
      <c r="C40" s="192" t="s">
        <v>1219</v>
      </c>
      <c r="D40" s="192"/>
      <c r="E40" s="192"/>
      <c r="F40" s="193"/>
      <c r="G40" s="193"/>
      <c r="H40" s="192" t="s">
        <v>1220</v>
      </c>
      <c r="I40" s="192" t="s">
        <v>601</v>
      </c>
      <c r="J40" s="192" t="s">
        <v>628</v>
      </c>
      <c r="K40" s="192" t="s">
        <v>603</v>
      </c>
      <c r="L40" s="192" t="s">
        <v>604</v>
      </c>
      <c r="M40" s="192" t="s">
        <v>605</v>
      </c>
      <c r="N40" s="192"/>
      <c r="O40" s="192"/>
      <c r="P40" s="192"/>
      <c r="Q40" s="192"/>
      <c r="R40" s="192" t="s">
        <v>606</v>
      </c>
    </row>
    <row r="41" spans="1:18" ht="13.15" customHeight="1" x14ac:dyDescent="0.25">
      <c r="A41" s="192" t="s">
        <v>1008</v>
      </c>
      <c r="B41" s="194"/>
      <c r="C41" s="192" t="s">
        <v>1217</v>
      </c>
      <c r="D41" s="192"/>
      <c r="E41" s="192"/>
      <c r="F41" s="193"/>
      <c r="G41" s="193"/>
      <c r="H41" s="192" t="s">
        <v>1218</v>
      </c>
      <c r="I41" s="192" t="s">
        <v>601</v>
      </c>
      <c r="J41" s="192" t="s">
        <v>628</v>
      </c>
      <c r="K41" s="192" t="s">
        <v>603</v>
      </c>
      <c r="L41" s="192" t="s">
        <v>604</v>
      </c>
      <c r="M41" s="192" t="s">
        <v>605</v>
      </c>
      <c r="N41" s="192"/>
      <c r="O41" s="192"/>
      <c r="P41" s="192"/>
      <c r="Q41" s="192"/>
      <c r="R41" s="192" t="s">
        <v>606</v>
      </c>
    </row>
    <row r="42" spans="1:18" ht="13.15" customHeight="1" x14ac:dyDescent="0.25">
      <c r="A42" s="192" t="s">
        <v>1536</v>
      </c>
      <c r="B42" s="192" t="s">
        <v>247</v>
      </c>
      <c r="C42" s="192" t="s">
        <v>1880</v>
      </c>
      <c r="D42" s="192">
        <v>598.26</v>
      </c>
      <c r="E42" s="192">
        <v>852.64</v>
      </c>
      <c r="F42" s="193"/>
      <c r="G42" s="193"/>
      <c r="H42" s="192" t="s">
        <v>1881</v>
      </c>
      <c r="I42" s="192" t="s">
        <v>601</v>
      </c>
      <c r="J42" s="192" t="s">
        <v>628</v>
      </c>
      <c r="K42" s="192" t="s">
        <v>603</v>
      </c>
      <c r="L42" s="192" t="s">
        <v>604</v>
      </c>
      <c r="M42" s="192" t="s">
        <v>605</v>
      </c>
      <c r="N42" s="192"/>
      <c r="O42" s="192"/>
      <c r="P42" s="192" t="s">
        <v>704</v>
      </c>
      <c r="Q42" s="192" t="s">
        <v>1287</v>
      </c>
      <c r="R42" s="192" t="s">
        <v>606</v>
      </c>
    </row>
    <row r="43" spans="1:18" ht="13.15" customHeight="1" x14ac:dyDescent="0.25">
      <c r="A43" s="192" t="s">
        <v>1008</v>
      </c>
      <c r="B43" s="194"/>
      <c r="C43" s="192" t="s">
        <v>1232</v>
      </c>
      <c r="D43" s="192"/>
      <c r="E43" s="192"/>
      <c r="F43" s="193"/>
      <c r="G43" s="193"/>
      <c r="H43" s="192" t="s">
        <v>1233</v>
      </c>
      <c r="I43" s="192" t="s">
        <v>601</v>
      </c>
      <c r="J43" s="192" t="s">
        <v>628</v>
      </c>
      <c r="K43" s="192" t="s">
        <v>603</v>
      </c>
      <c r="L43" s="192" t="s">
        <v>604</v>
      </c>
      <c r="M43" s="192" t="s">
        <v>605</v>
      </c>
      <c r="N43" s="192"/>
      <c r="O43" s="192"/>
      <c r="P43" s="192"/>
      <c r="Q43" s="192"/>
      <c r="R43" s="192" t="s">
        <v>606</v>
      </c>
    </row>
    <row r="44" spans="1:18" ht="13.15" customHeight="1" x14ac:dyDescent="0.25">
      <c r="A44" s="192" t="s">
        <v>1249</v>
      </c>
      <c r="B44" s="192" t="s">
        <v>1352</v>
      </c>
      <c r="C44" s="192" t="s">
        <v>1351</v>
      </c>
      <c r="D44" s="192">
        <v>1080.98</v>
      </c>
      <c r="E44" s="192">
        <v>1540.61</v>
      </c>
      <c r="F44" s="193"/>
      <c r="G44" s="193"/>
      <c r="H44" s="192" t="s">
        <v>1353</v>
      </c>
      <c r="I44" s="192" t="s">
        <v>601</v>
      </c>
      <c r="J44" s="192" t="s">
        <v>628</v>
      </c>
      <c r="K44" s="192" t="s">
        <v>1354</v>
      </c>
      <c r="L44" s="192" t="s">
        <v>604</v>
      </c>
      <c r="M44" s="192" t="s">
        <v>605</v>
      </c>
      <c r="N44" s="192"/>
      <c r="O44" s="192"/>
      <c r="P44" s="192"/>
      <c r="Q44" s="192"/>
      <c r="R44" s="192" t="s">
        <v>606</v>
      </c>
    </row>
    <row r="45" spans="1:18" ht="13.15" customHeight="1" x14ac:dyDescent="0.25">
      <c r="A45" s="192" t="s">
        <v>1008</v>
      </c>
      <c r="B45" s="194"/>
      <c r="C45" s="192" t="s">
        <v>1215</v>
      </c>
      <c r="D45" s="192"/>
      <c r="E45" s="192"/>
      <c r="F45" s="193"/>
      <c r="G45" s="193"/>
      <c r="H45" s="192" t="s">
        <v>1216</v>
      </c>
      <c r="I45" s="192" t="s">
        <v>601</v>
      </c>
      <c r="J45" s="192" t="s">
        <v>628</v>
      </c>
      <c r="K45" s="192" t="s">
        <v>603</v>
      </c>
      <c r="L45" s="192" t="s">
        <v>604</v>
      </c>
      <c r="M45" s="192" t="s">
        <v>605</v>
      </c>
      <c r="N45" s="192"/>
      <c r="O45" s="192"/>
      <c r="P45" s="192"/>
      <c r="Q45" s="192"/>
      <c r="R45" s="192" t="s">
        <v>606</v>
      </c>
    </row>
    <row r="46" spans="1:18" ht="13.15" customHeight="1" x14ac:dyDescent="0.25">
      <c r="A46" s="192" t="s">
        <v>1536</v>
      </c>
      <c r="B46" s="192" t="s">
        <v>307</v>
      </c>
      <c r="C46" s="192" t="s">
        <v>1878</v>
      </c>
      <c r="D46" s="192">
        <v>14.76</v>
      </c>
      <c r="E46" s="192">
        <v>21.04</v>
      </c>
      <c r="F46" s="193"/>
      <c r="G46" s="193"/>
      <c r="H46" s="192" t="s">
        <v>1879</v>
      </c>
      <c r="I46" s="192" t="s">
        <v>601</v>
      </c>
      <c r="J46" s="192" t="s">
        <v>628</v>
      </c>
      <c r="K46" s="192" t="s">
        <v>603</v>
      </c>
      <c r="L46" s="192" t="s">
        <v>604</v>
      </c>
      <c r="M46" s="192" t="s">
        <v>605</v>
      </c>
      <c r="N46" s="192"/>
      <c r="O46" s="192"/>
      <c r="P46" s="192" t="s">
        <v>704</v>
      </c>
      <c r="Q46" s="192" t="s">
        <v>1013</v>
      </c>
      <c r="R46" s="192" t="s">
        <v>606</v>
      </c>
    </row>
    <row r="47" spans="1:18" ht="13.15" customHeight="1" x14ac:dyDescent="0.25">
      <c r="A47" s="192" t="s">
        <v>833</v>
      </c>
      <c r="B47" s="194"/>
      <c r="C47" s="192" t="s">
        <v>1004</v>
      </c>
      <c r="D47" s="192"/>
      <c r="E47" s="192"/>
      <c r="F47" s="193"/>
      <c r="G47" s="193"/>
      <c r="H47" s="192" t="s">
        <v>1005</v>
      </c>
      <c r="I47" s="192" t="s">
        <v>601</v>
      </c>
      <c r="J47" s="192" t="s">
        <v>628</v>
      </c>
      <c r="K47" s="192" t="s">
        <v>603</v>
      </c>
      <c r="L47" s="192" t="s">
        <v>604</v>
      </c>
      <c r="M47" s="192" t="s">
        <v>605</v>
      </c>
      <c r="N47" s="192"/>
      <c r="O47" s="192"/>
      <c r="P47" s="192"/>
      <c r="Q47" s="192"/>
      <c r="R47" s="192" t="s">
        <v>847</v>
      </c>
    </row>
    <row r="48" spans="1:18" ht="13.15" customHeight="1" x14ac:dyDescent="0.25">
      <c r="A48" s="192" t="s">
        <v>1536</v>
      </c>
      <c r="B48" s="194"/>
      <c r="C48" s="192" t="s">
        <v>1902</v>
      </c>
      <c r="D48" s="192">
        <v>183.56</v>
      </c>
      <c r="E48" s="192">
        <v>261.61</v>
      </c>
      <c r="F48" s="193"/>
      <c r="G48" s="193"/>
      <c r="H48" s="192" t="s">
        <v>1903</v>
      </c>
      <c r="I48" s="192" t="s">
        <v>601</v>
      </c>
      <c r="J48" s="192" t="s">
        <v>628</v>
      </c>
      <c r="K48" s="192" t="s">
        <v>603</v>
      </c>
      <c r="L48" s="192" t="s">
        <v>604</v>
      </c>
      <c r="M48" s="192" t="s">
        <v>605</v>
      </c>
      <c r="N48" s="192"/>
      <c r="O48" s="192"/>
      <c r="P48" s="192"/>
      <c r="Q48" s="192"/>
      <c r="R48" s="192" t="s">
        <v>606</v>
      </c>
    </row>
    <row r="49" spans="1:18" ht="13.15" customHeight="1" x14ac:dyDescent="0.25">
      <c r="A49" s="192" t="s">
        <v>1536</v>
      </c>
      <c r="B49" s="192" t="s">
        <v>289</v>
      </c>
      <c r="C49" s="192" t="s">
        <v>1900</v>
      </c>
      <c r="D49" s="192">
        <v>8.82</v>
      </c>
      <c r="E49" s="192">
        <v>12.57</v>
      </c>
      <c r="F49" s="193"/>
      <c r="G49" s="193"/>
      <c r="H49" s="192" t="s">
        <v>1901</v>
      </c>
      <c r="I49" s="192" t="s">
        <v>601</v>
      </c>
      <c r="J49" s="192" t="s">
        <v>628</v>
      </c>
      <c r="K49" s="192" t="s">
        <v>603</v>
      </c>
      <c r="L49" s="192" t="s">
        <v>604</v>
      </c>
      <c r="M49" s="192" t="s">
        <v>605</v>
      </c>
      <c r="N49" s="192"/>
      <c r="O49" s="192"/>
      <c r="P49" s="192" t="s">
        <v>704</v>
      </c>
      <c r="Q49" s="192" t="s">
        <v>1013</v>
      </c>
      <c r="R49" s="192" t="s">
        <v>606</v>
      </c>
    </row>
    <row r="50" spans="1:18" ht="13.15" customHeight="1" x14ac:dyDescent="0.25">
      <c r="A50" s="192" t="s">
        <v>833</v>
      </c>
      <c r="B50" s="194"/>
      <c r="C50" s="192" t="s">
        <v>1006</v>
      </c>
      <c r="D50" s="192"/>
      <c r="E50" s="192"/>
      <c r="F50" s="193"/>
      <c r="G50" s="193"/>
      <c r="H50" s="192" t="s">
        <v>1007</v>
      </c>
      <c r="I50" s="192" t="s">
        <v>601</v>
      </c>
      <c r="J50" s="192" t="s">
        <v>628</v>
      </c>
      <c r="K50" s="192" t="s">
        <v>603</v>
      </c>
      <c r="L50" s="192" t="s">
        <v>604</v>
      </c>
      <c r="M50" s="192" t="s">
        <v>605</v>
      </c>
      <c r="N50" s="192"/>
      <c r="O50" s="192"/>
      <c r="P50" s="192"/>
      <c r="Q50" s="192"/>
      <c r="R50" s="192" t="s">
        <v>847</v>
      </c>
    </row>
    <row r="51" spans="1:18" ht="13.15" customHeight="1" x14ac:dyDescent="0.25">
      <c r="A51" s="192" t="s">
        <v>1008</v>
      </c>
      <c r="B51" s="192" t="s">
        <v>1240</v>
      </c>
      <c r="C51" s="192" t="s">
        <v>1239</v>
      </c>
      <c r="D51" s="192"/>
      <c r="E51" s="192"/>
      <c r="F51" s="193"/>
      <c r="G51" s="193"/>
      <c r="H51" s="192" t="s">
        <v>1241</v>
      </c>
      <c r="I51" s="192" t="s">
        <v>601</v>
      </c>
      <c r="J51" s="192" t="s">
        <v>628</v>
      </c>
      <c r="K51" s="192" t="s">
        <v>1002</v>
      </c>
      <c r="L51" s="192" t="s">
        <v>604</v>
      </c>
      <c r="M51" s="192" t="s">
        <v>605</v>
      </c>
      <c r="N51" s="192"/>
      <c r="O51" s="192"/>
      <c r="P51" s="192"/>
      <c r="Q51" s="192"/>
      <c r="R51" s="192" t="s">
        <v>606</v>
      </c>
    </row>
    <row r="52" spans="1:18" ht="13.15" customHeight="1" x14ac:dyDescent="0.25">
      <c r="A52" s="192" t="s">
        <v>1008</v>
      </c>
      <c r="B52" s="192" t="s">
        <v>1237</v>
      </c>
      <c r="C52" s="192" t="s">
        <v>1236</v>
      </c>
      <c r="D52" s="192"/>
      <c r="E52" s="192"/>
      <c r="F52" s="193"/>
      <c r="G52" s="193"/>
      <c r="H52" s="192" t="s">
        <v>1238</v>
      </c>
      <c r="I52" s="192" t="s">
        <v>601</v>
      </c>
      <c r="J52" s="192" t="s">
        <v>628</v>
      </c>
      <c r="K52" s="192" t="s">
        <v>603</v>
      </c>
      <c r="L52" s="192" t="s">
        <v>604</v>
      </c>
      <c r="M52" s="192" t="s">
        <v>605</v>
      </c>
      <c r="N52" s="192"/>
      <c r="O52" s="192"/>
      <c r="P52" s="192"/>
      <c r="Q52" s="192"/>
      <c r="R52" s="192" t="s">
        <v>606</v>
      </c>
    </row>
    <row r="53" spans="1:18" ht="13.15" customHeight="1" x14ac:dyDescent="0.25">
      <c r="A53" s="192" t="s">
        <v>1008</v>
      </c>
      <c r="B53" s="194"/>
      <c r="C53" s="192" t="s">
        <v>1234</v>
      </c>
      <c r="D53" s="192"/>
      <c r="E53" s="192"/>
      <c r="F53" s="193"/>
      <c r="G53" s="193"/>
      <c r="H53" s="192" t="s">
        <v>1235</v>
      </c>
      <c r="I53" s="192" t="s">
        <v>601</v>
      </c>
      <c r="J53" s="192" t="s">
        <v>628</v>
      </c>
      <c r="K53" s="192" t="s">
        <v>603</v>
      </c>
      <c r="L53" s="192" t="s">
        <v>604</v>
      </c>
      <c r="M53" s="192" t="s">
        <v>605</v>
      </c>
      <c r="N53" s="192"/>
      <c r="O53" s="192"/>
      <c r="P53" s="192"/>
      <c r="Q53" s="192"/>
      <c r="R53" s="192" t="s">
        <v>606</v>
      </c>
    </row>
    <row r="54" spans="1:18" ht="13.15" customHeight="1" x14ac:dyDescent="0.25">
      <c r="A54" s="192" t="s">
        <v>597</v>
      </c>
      <c r="B54" s="194"/>
      <c r="C54" s="192" t="s">
        <v>626</v>
      </c>
      <c r="D54" s="192">
        <v>2123.92</v>
      </c>
      <c r="E54" s="192">
        <v>3027.01</v>
      </c>
      <c r="F54" s="193"/>
      <c r="G54" s="193"/>
      <c r="H54" s="192" t="s">
        <v>627</v>
      </c>
      <c r="I54" s="192" t="s">
        <v>601</v>
      </c>
      <c r="J54" s="192" t="s">
        <v>628</v>
      </c>
      <c r="K54" s="192" t="s">
        <v>603</v>
      </c>
      <c r="L54" s="192" t="s">
        <v>604</v>
      </c>
      <c r="M54" s="192" t="s">
        <v>605</v>
      </c>
      <c r="N54" s="192"/>
      <c r="O54" s="192"/>
      <c r="P54" s="192"/>
      <c r="Q54" s="192"/>
      <c r="R54" s="192" t="s">
        <v>629</v>
      </c>
    </row>
    <row r="55" spans="1:18" ht="13.15" customHeight="1" x14ac:dyDescent="0.25">
      <c r="A55" s="192" t="s">
        <v>1536</v>
      </c>
      <c r="B55" s="192" t="s">
        <v>78</v>
      </c>
      <c r="C55" s="192" t="s">
        <v>1876</v>
      </c>
      <c r="D55" s="192">
        <v>1267.5899999999999</v>
      </c>
      <c r="E55" s="192">
        <v>1806.57</v>
      </c>
      <c r="F55" s="193"/>
      <c r="G55" s="193"/>
      <c r="H55" s="192" t="s">
        <v>1877</v>
      </c>
      <c r="I55" s="192" t="s">
        <v>601</v>
      </c>
      <c r="J55" s="192" t="s">
        <v>1343</v>
      </c>
      <c r="K55" s="192" t="s">
        <v>603</v>
      </c>
      <c r="L55" s="192" t="s">
        <v>604</v>
      </c>
      <c r="M55" s="192" t="s">
        <v>605</v>
      </c>
      <c r="N55" s="192" t="s">
        <v>1867</v>
      </c>
      <c r="O55" s="192"/>
      <c r="P55" s="192" t="s">
        <v>704</v>
      </c>
      <c r="Q55" s="192" t="s">
        <v>803</v>
      </c>
      <c r="R55" s="192" t="s">
        <v>629</v>
      </c>
    </row>
    <row r="56" spans="1:18" ht="13.15" customHeight="1" x14ac:dyDescent="0.25">
      <c r="A56" s="192" t="s">
        <v>1536</v>
      </c>
      <c r="B56" s="192" t="s">
        <v>86</v>
      </c>
      <c r="C56" s="192" t="s">
        <v>1874</v>
      </c>
      <c r="D56" s="192">
        <v>1267.5899999999999</v>
      </c>
      <c r="E56" s="192">
        <v>1806.57</v>
      </c>
      <c r="F56" s="193"/>
      <c r="G56" s="193"/>
      <c r="H56" s="192" t="s">
        <v>1875</v>
      </c>
      <c r="I56" s="192" t="s">
        <v>601</v>
      </c>
      <c r="J56" s="192" t="s">
        <v>1343</v>
      </c>
      <c r="K56" s="192" t="s">
        <v>603</v>
      </c>
      <c r="L56" s="192" t="s">
        <v>604</v>
      </c>
      <c r="M56" s="192" t="s">
        <v>605</v>
      </c>
      <c r="N56" s="192" t="s">
        <v>1867</v>
      </c>
      <c r="O56" s="192"/>
      <c r="P56" s="192" t="s">
        <v>704</v>
      </c>
      <c r="Q56" s="192" t="s">
        <v>803</v>
      </c>
      <c r="R56" s="192" t="s">
        <v>629</v>
      </c>
    </row>
    <row r="57" spans="1:18" ht="13.15" customHeight="1" x14ac:dyDescent="0.25">
      <c r="A57" s="192" t="s">
        <v>1536</v>
      </c>
      <c r="B57" s="192" t="s">
        <v>82</v>
      </c>
      <c r="C57" s="192" t="s">
        <v>1872</v>
      </c>
      <c r="D57" s="192">
        <v>1267.5899999999999</v>
      </c>
      <c r="E57" s="192">
        <v>1806.57</v>
      </c>
      <c r="F57" s="193"/>
      <c r="G57" s="193"/>
      <c r="H57" s="192" t="s">
        <v>1873</v>
      </c>
      <c r="I57" s="192" t="s">
        <v>601</v>
      </c>
      <c r="J57" s="192" t="s">
        <v>1343</v>
      </c>
      <c r="K57" s="192" t="s">
        <v>603</v>
      </c>
      <c r="L57" s="192" t="s">
        <v>604</v>
      </c>
      <c r="M57" s="192" t="s">
        <v>605</v>
      </c>
      <c r="N57" s="192" t="s">
        <v>1867</v>
      </c>
      <c r="O57" s="192"/>
      <c r="P57" s="192" t="s">
        <v>704</v>
      </c>
      <c r="Q57" s="192" t="s">
        <v>803</v>
      </c>
      <c r="R57" s="192" t="s">
        <v>629</v>
      </c>
    </row>
    <row r="58" spans="1:18" ht="13.15" customHeight="1" x14ac:dyDescent="0.25">
      <c r="A58" s="192" t="s">
        <v>1536</v>
      </c>
      <c r="B58" s="192" t="s">
        <v>76</v>
      </c>
      <c r="C58" s="192" t="s">
        <v>1870</v>
      </c>
      <c r="D58" s="192">
        <v>979.69</v>
      </c>
      <c r="E58" s="192">
        <v>1396.25</v>
      </c>
      <c r="F58" s="193"/>
      <c r="G58" s="193"/>
      <c r="H58" s="192" t="s">
        <v>1871</v>
      </c>
      <c r="I58" s="192" t="s">
        <v>601</v>
      </c>
      <c r="J58" s="192" t="s">
        <v>1343</v>
      </c>
      <c r="K58" s="192" t="s">
        <v>603</v>
      </c>
      <c r="L58" s="192" t="s">
        <v>604</v>
      </c>
      <c r="M58" s="192" t="s">
        <v>605</v>
      </c>
      <c r="N58" s="192" t="s">
        <v>1867</v>
      </c>
      <c r="O58" s="192"/>
      <c r="P58" s="192" t="s">
        <v>704</v>
      </c>
      <c r="Q58" s="192" t="s">
        <v>803</v>
      </c>
      <c r="R58" s="192" t="s">
        <v>629</v>
      </c>
    </row>
    <row r="59" spans="1:18" ht="13.15" customHeight="1" x14ac:dyDescent="0.25">
      <c r="A59" s="192" t="s">
        <v>1536</v>
      </c>
      <c r="B59" s="192" t="s">
        <v>84</v>
      </c>
      <c r="C59" s="192" t="s">
        <v>1868</v>
      </c>
      <c r="D59" s="192">
        <v>979.69</v>
      </c>
      <c r="E59" s="192">
        <v>1396.25</v>
      </c>
      <c r="F59" s="193"/>
      <c r="G59" s="193"/>
      <c r="H59" s="192" t="s">
        <v>1869</v>
      </c>
      <c r="I59" s="192" t="s">
        <v>601</v>
      </c>
      <c r="J59" s="192" t="s">
        <v>1343</v>
      </c>
      <c r="K59" s="192" t="s">
        <v>603</v>
      </c>
      <c r="L59" s="192" t="s">
        <v>604</v>
      </c>
      <c r="M59" s="192" t="s">
        <v>605</v>
      </c>
      <c r="N59" s="192" t="s">
        <v>1867</v>
      </c>
      <c r="O59" s="192"/>
      <c r="P59" s="192" t="s">
        <v>704</v>
      </c>
      <c r="Q59" s="192" t="s">
        <v>803</v>
      </c>
      <c r="R59" s="192" t="s">
        <v>629</v>
      </c>
    </row>
    <row r="60" spans="1:18" ht="13.15" customHeight="1" x14ac:dyDescent="0.25">
      <c r="A60" s="192" t="s">
        <v>1536</v>
      </c>
      <c r="B60" s="192" t="s">
        <v>80</v>
      </c>
      <c r="C60" s="192" t="s">
        <v>1865</v>
      </c>
      <c r="D60" s="192">
        <v>979.69</v>
      </c>
      <c r="E60" s="192">
        <v>1396.25</v>
      </c>
      <c r="F60" s="193"/>
      <c r="G60" s="193"/>
      <c r="H60" s="192" t="s">
        <v>1866</v>
      </c>
      <c r="I60" s="192" t="s">
        <v>601</v>
      </c>
      <c r="J60" s="192" t="s">
        <v>1343</v>
      </c>
      <c r="K60" s="192" t="s">
        <v>603</v>
      </c>
      <c r="L60" s="192" t="s">
        <v>604</v>
      </c>
      <c r="M60" s="192" t="s">
        <v>605</v>
      </c>
      <c r="N60" s="192" t="s">
        <v>1867</v>
      </c>
      <c r="O60" s="192"/>
      <c r="P60" s="192" t="s">
        <v>704</v>
      </c>
      <c r="Q60" s="192" t="s">
        <v>803</v>
      </c>
      <c r="R60" s="192" t="s">
        <v>629</v>
      </c>
    </row>
    <row r="61" spans="1:18" ht="13.15" customHeight="1" x14ac:dyDescent="0.25">
      <c r="A61" s="192" t="s">
        <v>1536</v>
      </c>
      <c r="B61" s="192" t="s">
        <v>217</v>
      </c>
      <c r="C61" s="192" t="s">
        <v>1863</v>
      </c>
      <c r="D61" s="192">
        <v>3799.1</v>
      </c>
      <c r="E61" s="192">
        <v>5414.48</v>
      </c>
      <c r="F61" s="193"/>
      <c r="G61" s="193"/>
      <c r="H61" s="192" t="s">
        <v>1864</v>
      </c>
      <c r="I61" s="192" t="s">
        <v>601</v>
      </c>
      <c r="J61" s="192" t="s">
        <v>1343</v>
      </c>
      <c r="K61" s="192" t="s">
        <v>1002</v>
      </c>
      <c r="L61" s="192" t="s">
        <v>604</v>
      </c>
      <c r="M61" s="192" t="s">
        <v>605</v>
      </c>
      <c r="N61" s="192"/>
      <c r="O61" s="192"/>
      <c r="P61" s="192" t="s">
        <v>704</v>
      </c>
      <c r="Q61" s="192" t="s">
        <v>1858</v>
      </c>
      <c r="R61" s="192" t="s">
        <v>1344</v>
      </c>
    </row>
    <row r="62" spans="1:18" ht="13.15" customHeight="1" x14ac:dyDescent="0.25">
      <c r="A62" s="192" t="s">
        <v>1536</v>
      </c>
      <c r="B62" s="192" t="s">
        <v>215</v>
      </c>
      <c r="C62" s="192" t="s">
        <v>1861</v>
      </c>
      <c r="D62" s="192">
        <v>2583.2399999999998</v>
      </c>
      <c r="E62" s="192">
        <v>3681.63</v>
      </c>
      <c r="F62" s="193"/>
      <c r="G62" s="193"/>
      <c r="H62" s="192" t="s">
        <v>1862</v>
      </c>
      <c r="I62" s="192" t="s">
        <v>601</v>
      </c>
      <c r="J62" s="192" t="s">
        <v>1343</v>
      </c>
      <c r="K62" s="192" t="s">
        <v>1002</v>
      </c>
      <c r="L62" s="192" t="s">
        <v>604</v>
      </c>
      <c r="M62" s="192" t="s">
        <v>605</v>
      </c>
      <c r="N62" s="192"/>
      <c r="O62" s="192"/>
      <c r="P62" s="192" t="s">
        <v>704</v>
      </c>
      <c r="Q62" s="192" t="s">
        <v>1858</v>
      </c>
      <c r="R62" s="192" t="s">
        <v>1344</v>
      </c>
    </row>
    <row r="63" spans="1:18" ht="13.15" customHeight="1" x14ac:dyDescent="0.25">
      <c r="A63" s="192" t="s">
        <v>1536</v>
      </c>
      <c r="B63" s="194"/>
      <c r="C63" s="192" t="s">
        <v>1859</v>
      </c>
      <c r="D63" s="192"/>
      <c r="E63" s="192"/>
      <c r="F63" s="193"/>
      <c r="G63" s="193"/>
      <c r="H63" s="192" t="s">
        <v>1860</v>
      </c>
      <c r="I63" s="192" t="s">
        <v>601</v>
      </c>
      <c r="J63" s="192" t="s">
        <v>1343</v>
      </c>
      <c r="K63" s="192" t="s">
        <v>603</v>
      </c>
      <c r="L63" s="192" t="s">
        <v>604</v>
      </c>
      <c r="M63" s="192" t="s">
        <v>605</v>
      </c>
      <c r="N63" s="192"/>
      <c r="O63" s="192"/>
      <c r="P63" s="192"/>
      <c r="Q63" s="192"/>
      <c r="R63" s="192" t="s">
        <v>1344</v>
      </c>
    </row>
    <row r="64" spans="1:18" ht="13.15" customHeight="1" x14ac:dyDescent="0.25">
      <c r="A64" s="192" t="s">
        <v>1536</v>
      </c>
      <c r="B64" s="192" t="s">
        <v>213</v>
      </c>
      <c r="C64" s="192" t="s">
        <v>1856</v>
      </c>
      <c r="D64" s="192">
        <v>1423.29</v>
      </c>
      <c r="E64" s="192">
        <v>2028.47</v>
      </c>
      <c r="F64" s="193"/>
      <c r="G64" s="193"/>
      <c r="H64" s="192" t="s">
        <v>1857</v>
      </c>
      <c r="I64" s="192" t="s">
        <v>601</v>
      </c>
      <c r="J64" s="192" t="s">
        <v>1343</v>
      </c>
      <c r="K64" s="192" t="s">
        <v>1002</v>
      </c>
      <c r="L64" s="192" t="s">
        <v>604</v>
      </c>
      <c r="M64" s="192" t="s">
        <v>605</v>
      </c>
      <c r="N64" s="192"/>
      <c r="O64" s="192"/>
      <c r="P64" s="192" t="s">
        <v>704</v>
      </c>
      <c r="Q64" s="192" t="s">
        <v>1858</v>
      </c>
      <c r="R64" s="192" t="s">
        <v>1344</v>
      </c>
    </row>
    <row r="65" spans="1:18" ht="13.15" customHeight="1" x14ac:dyDescent="0.25">
      <c r="A65" s="192" t="s">
        <v>1249</v>
      </c>
      <c r="B65" s="192" t="s">
        <v>224</v>
      </c>
      <c r="C65" s="192" t="s">
        <v>1341</v>
      </c>
      <c r="D65" s="192">
        <v>319.77</v>
      </c>
      <c r="E65" s="192">
        <v>455.74</v>
      </c>
      <c r="F65" s="193"/>
      <c r="G65" s="193"/>
      <c r="H65" s="192" t="s">
        <v>1342</v>
      </c>
      <c r="I65" s="192" t="s">
        <v>601</v>
      </c>
      <c r="J65" s="192" t="s">
        <v>1343</v>
      </c>
      <c r="K65" s="192" t="s">
        <v>603</v>
      </c>
      <c r="L65" s="192" t="s">
        <v>604</v>
      </c>
      <c r="M65" s="192" t="s">
        <v>605</v>
      </c>
      <c r="N65" s="192"/>
      <c r="O65" s="192"/>
      <c r="P65" s="192" t="s">
        <v>704</v>
      </c>
      <c r="Q65" s="192" t="s">
        <v>1287</v>
      </c>
      <c r="R65" s="192" t="s">
        <v>1344</v>
      </c>
    </row>
    <row r="66" spans="1:18" ht="13.15" customHeight="1" x14ac:dyDescent="0.25">
      <c r="A66" s="192" t="s">
        <v>1536</v>
      </c>
      <c r="B66" s="192" t="s">
        <v>291</v>
      </c>
      <c r="C66" s="192" t="s">
        <v>1854</v>
      </c>
      <c r="D66" s="192">
        <v>4.41</v>
      </c>
      <c r="E66" s="192">
        <v>6.29</v>
      </c>
      <c r="F66" s="193"/>
      <c r="G66" s="193"/>
      <c r="H66" s="192" t="s">
        <v>1855</v>
      </c>
      <c r="I66" s="192" t="s">
        <v>601</v>
      </c>
      <c r="J66" s="192" t="s">
        <v>1343</v>
      </c>
      <c r="K66" s="192" t="s">
        <v>603</v>
      </c>
      <c r="L66" s="192" t="s">
        <v>604</v>
      </c>
      <c r="M66" s="192" t="s">
        <v>605</v>
      </c>
      <c r="N66" s="192"/>
      <c r="O66" s="192"/>
      <c r="P66" s="192" t="s">
        <v>704</v>
      </c>
      <c r="Q66" s="192" t="s">
        <v>1013</v>
      </c>
      <c r="R66" s="192" t="s">
        <v>1344</v>
      </c>
    </row>
    <row r="67" spans="1:18" ht="13.15" customHeight="1" x14ac:dyDescent="0.25">
      <c r="A67" s="192" t="s">
        <v>1536</v>
      </c>
      <c r="B67" s="192" t="s">
        <v>273</v>
      </c>
      <c r="C67" s="192" t="s">
        <v>1852</v>
      </c>
      <c r="D67" s="192">
        <v>61.18</v>
      </c>
      <c r="E67" s="192">
        <v>87.19</v>
      </c>
      <c r="F67" s="193"/>
      <c r="G67" s="193"/>
      <c r="H67" s="192" t="s">
        <v>1853</v>
      </c>
      <c r="I67" s="192" t="s">
        <v>601</v>
      </c>
      <c r="J67" s="192" t="s">
        <v>1343</v>
      </c>
      <c r="K67" s="192" t="s">
        <v>603</v>
      </c>
      <c r="L67" s="192" t="s">
        <v>604</v>
      </c>
      <c r="M67" s="192" t="s">
        <v>605</v>
      </c>
      <c r="N67" s="192"/>
      <c r="O67" s="192"/>
      <c r="P67" s="192" t="s">
        <v>704</v>
      </c>
      <c r="Q67" s="192" t="s">
        <v>1013</v>
      </c>
      <c r="R67" s="192" t="s">
        <v>1344</v>
      </c>
    </row>
    <row r="68" spans="1:18" ht="13.15" customHeight="1" x14ac:dyDescent="0.25">
      <c r="A68" s="192" t="s">
        <v>1249</v>
      </c>
      <c r="B68" s="192" t="s">
        <v>1349</v>
      </c>
      <c r="C68" s="192" t="s">
        <v>1348</v>
      </c>
      <c r="D68" s="192">
        <v>3708.73</v>
      </c>
      <c r="E68" s="192">
        <v>5285.68</v>
      </c>
      <c r="F68" s="193"/>
      <c r="G68" s="193"/>
      <c r="H68" s="192" t="s">
        <v>1350</v>
      </c>
      <c r="I68" s="192" t="s">
        <v>601</v>
      </c>
      <c r="J68" s="192" t="s">
        <v>1343</v>
      </c>
      <c r="K68" s="192" t="s">
        <v>603</v>
      </c>
      <c r="L68" s="192" t="s">
        <v>604</v>
      </c>
      <c r="M68" s="192" t="s">
        <v>605</v>
      </c>
      <c r="N68" s="192"/>
      <c r="O68" s="192"/>
      <c r="P68" s="192"/>
      <c r="Q68" s="192"/>
      <c r="R68" s="192" t="s">
        <v>1344</v>
      </c>
    </row>
    <row r="69" spans="1:18" ht="13.15" customHeight="1" x14ac:dyDescent="0.25">
      <c r="A69" s="192" t="s">
        <v>1249</v>
      </c>
      <c r="B69" s="192" t="s">
        <v>1346</v>
      </c>
      <c r="C69" s="192" t="s">
        <v>1345</v>
      </c>
      <c r="D69" s="192">
        <v>3823.38</v>
      </c>
      <c r="E69" s="192">
        <v>5449.08</v>
      </c>
      <c r="F69" s="193"/>
      <c r="G69" s="193"/>
      <c r="H69" s="192" t="s">
        <v>1347</v>
      </c>
      <c r="I69" s="192" t="s">
        <v>601</v>
      </c>
      <c r="J69" s="192" t="s">
        <v>1343</v>
      </c>
      <c r="K69" s="192" t="s">
        <v>603</v>
      </c>
      <c r="L69" s="192" t="s">
        <v>604</v>
      </c>
      <c r="M69" s="192" t="s">
        <v>605</v>
      </c>
      <c r="N69" s="192"/>
      <c r="O69" s="192"/>
      <c r="P69" s="192"/>
      <c r="Q69" s="192"/>
      <c r="R69" s="192" t="s">
        <v>1344</v>
      </c>
    </row>
    <row r="70" spans="1:18" ht="13.15" customHeight="1" x14ac:dyDescent="0.25">
      <c r="A70" s="192" t="s">
        <v>1355</v>
      </c>
      <c r="B70" s="194"/>
      <c r="C70" s="192" t="s">
        <v>1534</v>
      </c>
      <c r="D70" s="192"/>
      <c r="E70" s="192"/>
      <c r="F70" s="193"/>
      <c r="G70" s="193"/>
      <c r="H70" s="192" t="s">
        <v>1535</v>
      </c>
      <c r="I70" s="195" t="s">
        <v>1469</v>
      </c>
      <c r="J70" s="192" t="s">
        <v>828</v>
      </c>
      <c r="K70" s="192" t="s">
        <v>603</v>
      </c>
      <c r="L70" s="192" t="s">
        <v>604</v>
      </c>
      <c r="M70" s="192" t="s">
        <v>605</v>
      </c>
      <c r="N70" s="192"/>
      <c r="O70" s="192"/>
      <c r="P70" s="192"/>
      <c r="Q70" s="192"/>
      <c r="R70" s="192" t="s">
        <v>1003</v>
      </c>
    </row>
    <row r="71" spans="1:18" ht="13.15" customHeight="1" x14ac:dyDescent="0.25">
      <c r="A71" s="192" t="s">
        <v>1355</v>
      </c>
      <c r="B71" s="194"/>
      <c r="C71" s="192" t="s">
        <v>1532</v>
      </c>
      <c r="D71" s="192"/>
      <c r="E71" s="192"/>
      <c r="F71" s="193"/>
      <c r="G71" s="193"/>
      <c r="H71" s="192" t="s">
        <v>1533</v>
      </c>
      <c r="I71" s="195" t="s">
        <v>1469</v>
      </c>
      <c r="J71" s="192" t="s">
        <v>828</v>
      </c>
      <c r="K71" s="192" t="s">
        <v>603</v>
      </c>
      <c r="L71" s="192" t="s">
        <v>604</v>
      </c>
      <c r="M71" s="192" t="s">
        <v>605</v>
      </c>
      <c r="N71" s="192"/>
      <c r="O71" s="192"/>
      <c r="P71" s="192"/>
      <c r="Q71" s="192"/>
      <c r="R71" s="192" t="s">
        <v>1003</v>
      </c>
    </row>
    <row r="72" spans="1:18" ht="13.15" customHeight="1" x14ac:dyDescent="0.25">
      <c r="A72" s="192" t="s">
        <v>685</v>
      </c>
      <c r="B72" s="194"/>
      <c r="C72" s="192" t="s">
        <v>831</v>
      </c>
      <c r="D72" s="192"/>
      <c r="E72" s="192"/>
      <c r="F72" s="193"/>
      <c r="G72" s="193"/>
      <c r="H72" s="192" t="s">
        <v>832</v>
      </c>
      <c r="I72" s="192" t="s">
        <v>601</v>
      </c>
      <c r="J72" s="192" t="s">
        <v>602</v>
      </c>
      <c r="K72" s="192" t="s">
        <v>603</v>
      </c>
      <c r="L72" s="192" t="s">
        <v>604</v>
      </c>
      <c r="M72" s="192" t="s">
        <v>605</v>
      </c>
      <c r="N72" s="192" t="s">
        <v>616</v>
      </c>
      <c r="O72" s="192"/>
      <c r="P72" s="192"/>
      <c r="Q72" s="192"/>
      <c r="R72" s="192" t="s">
        <v>696</v>
      </c>
    </row>
    <row r="73" spans="1:18" ht="13.15" customHeight="1" x14ac:dyDescent="0.25">
      <c r="A73" s="192" t="s">
        <v>685</v>
      </c>
      <c r="B73" s="194"/>
      <c r="C73" s="192" t="s">
        <v>829</v>
      </c>
      <c r="D73" s="192"/>
      <c r="E73" s="192"/>
      <c r="F73" s="193"/>
      <c r="G73" s="193"/>
      <c r="H73" s="192" t="s">
        <v>830</v>
      </c>
      <c r="I73" s="192" t="s">
        <v>601</v>
      </c>
      <c r="J73" s="192" t="s">
        <v>828</v>
      </c>
      <c r="K73" s="192" t="s">
        <v>603</v>
      </c>
      <c r="L73" s="192" t="s">
        <v>708</v>
      </c>
      <c r="M73" s="192" t="s">
        <v>605</v>
      </c>
      <c r="N73" s="192" t="s">
        <v>616</v>
      </c>
      <c r="O73" s="192"/>
      <c r="P73" s="192"/>
      <c r="Q73" s="192"/>
      <c r="R73" s="192" t="s">
        <v>696</v>
      </c>
    </row>
    <row r="74" spans="1:18" ht="13.15" customHeight="1" x14ac:dyDescent="0.25">
      <c r="A74" s="192" t="s">
        <v>685</v>
      </c>
      <c r="B74" s="192" t="s">
        <v>826</v>
      </c>
      <c r="C74" s="192" t="s">
        <v>825</v>
      </c>
      <c r="D74" s="192"/>
      <c r="E74" s="192"/>
      <c r="F74" s="193"/>
      <c r="G74" s="193"/>
      <c r="H74" s="192" t="s">
        <v>827</v>
      </c>
      <c r="I74" s="192" t="s">
        <v>601</v>
      </c>
      <c r="J74" s="192" t="s">
        <v>828</v>
      </c>
      <c r="K74" s="192" t="s">
        <v>603</v>
      </c>
      <c r="L74" s="192" t="s">
        <v>695</v>
      </c>
      <c r="M74" s="192" t="s">
        <v>605</v>
      </c>
      <c r="N74" s="192"/>
      <c r="O74" s="192"/>
      <c r="P74" s="192"/>
      <c r="Q74" s="192"/>
      <c r="R74" s="192" t="s">
        <v>696</v>
      </c>
    </row>
    <row r="75" spans="1:18" ht="13.15" customHeight="1" x14ac:dyDescent="0.25">
      <c r="A75" s="192" t="s">
        <v>1355</v>
      </c>
      <c r="B75" s="194"/>
      <c r="C75" s="192" t="s">
        <v>1530</v>
      </c>
      <c r="D75" s="192"/>
      <c r="E75" s="192"/>
      <c r="F75" s="193"/>
      <c r="G75" s="193"/>
      <c r="H75" s="192" t="s">
        <v>1531</v>
      </c>
      <c r="I75" s="192" t="s">
        <v>601</v>
      </c>
      <c r="J75" s="192" t="s">
        <v>828</v>
      </c>
      <c r="K75" s="192" t="s">
        <v>603</v>
      </c>
      <c r="L75" s="192" t="s">
        <v>604</v>
      </c>
      <c r="M75" s="192" t="s">
        <v>605</v>
      </c>
      <c r="N75" s="192"/>
      <c r="O75" s="192"/>
      <c r="P75" s="192"/>
      <c r="Q75" s="192"/>
      <c r="R75" s="192" t="s">
        <v>847</v>
      </c>
    </row>
    <row r="76" spans="1:18" ht="13.15" customHeight="1" x14ac:dyDescent="0.25">
      <c r="A76" s="192" t="s">
        <v>1355</v>
      </c>
      <c r="B76" s="194"/>
      <c r="C76" s="192" t="s">
        <v>1528</v>
      </c>
      <c r="D76" s="192"/>
      <c r="E76" s="192"/>
      <c r="F76" s="193"/>
      <c r="G76" s="193"/>
      <c r="H76" s="192" t="s">
        <v>1529</v>
      </c>
      <c r="I76" s="192" t="s">
        <v>601</v>
      </c>
      <c r="J76" s="192" t="s">
        <v>828</v>
      </c>
      <c r="K76" s="192" t="s">
        <v>603</v>
      </c>
      <c r="L76" s="192" t="s">
        <v>604</v>
      </c>
      <c r="M76" s="192" t="s">
        <v>605</v>
      </c>
      <c r="N76" s="192"/>
      <c r="O76" s="192"/>
      <c r="P76" s="192"/>
      <c r="Q76" s="192"/>
      <c r="R76" s="192" t="s">
        <v>847</v>
      </c>
    </row>
    <row r="77" spans="1:18" ht="13.15" customHeight="1" x14ac:dyDescent="0.25">
      <c r="A77" s="192" t="s">
        <v>1249</v>
      </c>
      <c r="B77" s="194"/>
      <c r="C77" s="192" t="s">
        <v>1338</v>
      </c>
      <c r="D77" s="192"/>
      <c r="E77" s="192"/>
      <c r="F77" s="193"/>
      <c r="G77" s="193"/>
      <c r="H77" s="192" t="s">
        <v>1339</v>
      </c>
      <c r="I77" s="192" t="s">
        <v>1340</v>
      </c>
      <c r="J77" s="192" t="s">
        <v>828</v>
      </c>
      <c r="K77" s="192" t="s">
        <v>603</v>
      </c>
      <c r="L77" s="192" t="s">
        <v>604</v>
      </c>
      <c r="M77" s="192" t="s">
        <v>605</v>
      </c>
      <c r="N77" s="192"/>
      <c r="O77" s="192"/>
      <c r="P77" s="192"/>
      <c r="Q77" s="192"/>
      <c r="R77" s="192" t="s">
        <v>606</v>
      </c>
    </row>
    <row r="78" spans="1:18" ht="13.15" customHeight="1" x14ac:dyDescent="0.25">
      <c r="A78" s="192" t="s">
        <v>1008</v>
      </c>
      <c r="B78" s="194"/>
      <c r="C78" s="192" t="s">
        <v>1009</v>
      </c>
      <c r="D78" s="192"/>
      <c r="E78" s="192"/>
      <c r="F78" s="193"/>
      <c r="G78" s="193"/>
      <c r="H78" s="192" t="s">
        <v>1010</v>
      </c>
      <c r="I78" s="195" t="s">
        <v>622</v>
      </c>
      <c r="J78" s="192" t="s">
        <v>602</v>
      </c>
      <c r="K78" s="192" t="s">
        <v>603</v>
      </c>
      <c r="L78" s="192" t="s">
        <v>604</v>
      </c>
      <c r="M78" s="192" t="s">
        <v>605</v>
      </c>
      <c r="N78" s="192"/>
      <c r="O78" s="192"/>
      <c r="P78" s="192"/>
      <c r="Q78" s="192"/>
      <c r="R78" s="192" t="s">
        <v>606</v>
      </c>
    </row>
    <row r="79" spans="1:18" ht="13.15" customHeight="1" x14ac:dyDescent="0.25">
      <c r="A79" s="192" t="s">
        <v>1355</v>
      </c>
      <c r="B79" s="194"/>
      <c r="C79" s="192" t="s">
        <v>1522</v>
      </c>
      <c r="D79" s="192"/>
      <c r="E79" s="192"/>
      <c r="F79" s="193"/>
      <c r="G79" s="193"/>
      <c r="H79" s="192" t="s">
        <v>1523</v>
      </c>
      <c r="I79" s="192" t="s">
        <v>601</v>
      </c>
      <c r="J79" s="192" t="s">
        <v>602</v>
      </c>
      <c r="K79" s="192" t="s">
        <v>1002</v>
      </c>
      <c r="L79" s="192" t="s">
        <v>604</v>
      </c>
      <c r="M79" s="192" t="s">
        <v>605</v>
      </c>
      <c r="N79" s="192" t="s">
        <v>1448</v>
      </c>
      <c r="O79" s="192"/>
      <c r="P79" s="192"/>
      <c r="Q79" s="192"/>
      <c r="R79" s="192" t="s">
        <v>1003</v>
      </c>
    </row>
    <row r="80" spans="1:18" ht="13.15" customHeight="1" x14ac:dyDescent="0.25">
      <c r="A80" s="192" t="s">
        <v>1536</v>
      </c>
      <c r="B80" s="192" t="s">
        <v>95</v>
      </c>
      <c r="C80" s="192" t="s">
        <v>1843</v>
      </c>
      <c r="D80" s="192">
        <v>775.39</v>
      </c>
      <c r="E80" s="192">
        <v>1105.0899999999999</v>
      </c>
      <c r="F80" s="193"/>
      <c r="G80" s="193"/>
      <c r="H80" s="192" t="s">
        <v>1844</v>
      </c>
      <c r="I80" s="192" t="s">
        <v>601</v>
      </c>
      <c r="J80" s="192" t="s">
        <v>602</v>
      </c>
      <c r="K80" s="192" t="s">
        <v>603</v>
      </c>
      <c r="L80" s="192" t="s">
        <v>695</v>
      </c>
      <c r="M80" s="192" t="s">
        <v>605</v>
      </c>
      <c r="N80" s="192" t="s">
        <v>1845</v>
      </c>
      <c r="O80" s="192"/>
      <c r="P80" s="192" t="s">
        <v>704</v>
      </c>
      <c r="Q80" s="192" t="s">
        <v>729</v>
      </c>
      <c r="R80" s="192" t="s">
        <v>1783</v>
      </c>
    </row>
    <row r="81" spans="1:18" ht="13.15" customHeight="1" x14ac:dyDescent="0.25">
      <c r="A81" s="192" t="s">
        <v>1536</v>
      </c>
      <c r="B81" s="192" t="s">
        <v>93</v>
      </c>
      <c r="C81" s="192" t="s">
        <v>1840</v>
      </c>
      <c r="D81" s="192">
        <v>549.66999999999996</v>
      </c>
      <c r="E81" s="192">
        <v>783.39</v>
      </c>
      <c r="F81" s="193"/>
      <c r="G81" s="193"/>
      <c r="H81" s="192" t="s">
        <v>1841</v>
      </c>
      <c r="I81" s="192" t="s">
        <v>601</v>
      </c>
      <c r="J81" s="192" t="s">
        <v>602</v>
      </c>
      <c r="K81" s="192" t="s">
        <v>603</v>
      </c>
      <c r="L81" s="192" t="s">
        <v>695</v>
      </c>
      <c r="M81" s="192" t="s">
        <v>605</v>
      </c>
      <c r="N81" s="192" t="s">
        <v>1842</v>
      </c>
      <c r="O81" s="192"/>
      <c r="P81" s="192" t="s">
        <v>704</v>
      </c>
      <c r="Q81" s="192" t="s">
        <v>729</v>
      </c>
      <c r="R81" s="192" t="s">
        <v>1783</v>
      </c>
    </row>
    <row r="82" spans="1:18" ht="13.15" customHeight="1" x14ac:dyDescent="0.25">
      <c r="A82" s="192" t="s">
        <v>1536</v>
      </c>
      <c r="B82" s="192" t="s">
        <v>91</v>
      </c>
      <c r="C82" s="192" t="s">
        <v>1837</v>
      </c>
      <c r="D82" s="192">
        <v>488.02</v>
      </c>
      <c r="E82" s="192">
        <v>695.53</v>
      </c>
      <c r="F82" s="193"/>
      <c r="G82" s="193"/>
      <c r="H82" s="192" t="s">
        <v>1838</v>
      </c>
      <c r="I82" s="192" t="s">
        <v>601</v>
      </c>
      <c r="J82" s="192" t="s">
        <v>602</v>
      </c>
      <c r="K82" s="192" t="s">
        <v>603</v>
      </c>
      <c r="L82" s="192" t="s">
        <v>695</v>
      </c>
      <c r="M82" s="192" t="s">
        <v>605</v>
      </c>
      <c r="N82" s="192" t="s">
        <v>1839</v>
      </c>
      <c r="O82" s="192"/>
      <c r="P82" s="192" t="s">
        <v>704</v>
      </c>
      <c r="Q82" s="192" t="s">
        <v>729</v>
      </c>
      <c r="R82" s="192" t="s">
        <v>1783</v>
      </c>
    </row>
    <row r="83" spans="1:18" ht="13.15" customHeight="1" x14ac:dyDescent="0.25">
      <c r="A83" s="192" t="s">
        <v>1536</v>
      </c>
      <c r="B83" s="192" t="s">
        <v>1835</v>
      </c>
      <c r="C83" s="192" t="s">
        <v>1834</v>
      </c>
      <c r="D83" s="192"/>
      <c r="E83" s="192"/>
      <c r="F83" s="193"/>
      <c r="G83" s="193"/>
      <c r="H83" s="192" t="s">
        <v>1836</v>
      </c>
      <c r="I83" s="192" t="s">
        <v>601</v>
      </c>
      <c r="J83" s="192" t="s">
        <v>602</v>
      </c>
      <c r="K83" s="192" t="s">
        <v>603</v>
      </c>
      <c r="L83" s="192" t="s">
        <v>604</v>
      </c>
      <c r="M83" s="192" t="s">
        <v>605</v>
      </c>
      <c r="N83" s="192" t="s">
        <v>1555</v>
      </c>
      <c r="O83" s="192"/>
      <c r="P83" s="192"/>
      <c r="Q83" s="192"/>
      <c r="R83" s="192" t="s">
        <v>1003</v>
      </c>
    </row>
    <row r="84" spans="1:18" ht="13.15" customHeight="1" x14ac:dyDescent="0.25">
      <c r="A84" s="192" t="s">
        <v>1536</v>
      </c>
      <c r="B84" s="192" t="s">
        <v>1832</v>
      </c>
      <c r="C84" s="192" t="s">
        <v>1831</v>
      </c>
      <c r="D84" s="192"/>
      <c r="E84" s="192"/>
      <c r="F84" s="193"/>
      <c r="G84" s="193"/>
      <c r="H84" s="192" t="s">
        <v>1833</v>
      </c>
      <c r="I84" s="192" t="s">
        <v>601</v>
      </c>
      <c r="J84" s="192" t="s">
        <v>602</v>
      </c>
      <c r="K84" s="192" t="s">
        <v>603</v>
      </c>
      <c r="L84" s="192" t="s">
        <v>604</v>
      </c>
      <c r="M84" s="192" t="s">
        <v>605</v>
      </c>
      <c r="N84" s="192" t="s">
        <v>1555</v>
      </c>
      <c r="O84" s="192"/>
      <c r="P84" s="192"/>
      <c r="Q84" s="192"/>
      <c r="R84" s="192" t="s">
        <v>1003</v>
      </c>
    </row>
    <row r="85" spans="1:18" ht="13.15" customHeight="1" x14ac:dyDescent="0.25">
      <c r="A85" s="192" t="s">
        <v>1536</v>
      </c>
      <c r="B85" s="192" t="s">
        <v>277</v>
      </c>
      <c r="C85" s="192" t="s">
        <v>1829</v>
      </c>
      <c r="D85" s="192">
        <v>174.19</v>
      </c>
      <c r="E85" s="192">
        <v>248.26</v>
      </c>
      <c r="F85" s="193"/>
      <c r="G85" s="193"/>
      <c r="H85" s="192" t="s">
        <v>1830</v>
      </c>
      <c r="I85" s="192" t="s">
        <v>601</v>
      </c>
      <c r="J85" s="192" t="s">
        <v>602</v>
      </c>
      <c r="K85" s="192" t="s">
        <v>603</v>
      </c>
      <c r="L85" s="192" t="s">
        <v>604</v>
      </c>
      <c r="M85" s="192" t="s">
        <v>605</v>
      </c>
      <c r="N85" s="192"/>
      <c r="O85" s="192"/>
      <c r="P85" s="192" t="s">
        <v>704</v>
      </c>
      <c r="Q85" s="192" t="s">
        <v>1013</v>
      </c>
      <c r="R85" s="192" t="s">
        <v>1003</v>
      </c>
    </row>
    <row r="86" spans="1:18" ht="13.15" customHeight="1" x14ac:dyDescent="0.25">
      <c r="A86" s="192" t="s">
        <v>1355</v>
      </c>
      <c r="B86" s="194"/>
      <c r="C86" s="192" t="s">
        <v>1526</v>
      </c>
      <c r="D86" s="192"/>
      <c r="E86" s="192"/>
      <c r="F86" s="193"/>
      <c r="G86" s="193"/>
      <c r="H86" s="192" t="s">
        <v>1527</v>
      </c>
      <c r="I86" s="195" t="s">
        <v>622</v>
      </c>
      <c r="J86" s="192" t="s">
        <v>602</v>
      </c>
      <c r="K86" s="192" t="s">
        <v>1002</v>
      </c>
      <c r="L86" s="192" t="s">
        <v>604</v>
      </c>
      <c r="M86" s="192" t="s">
        <v>605</v>
      </c>
      <c r="N86" s="192"/>
      <c r="O86" s="192"/>
      <c r="P86" s="192"/>
      <c r="Q86" s="192"/>
      <c r="R86" s="192" t="s">
        <v>1003</v>
      </c>
    </row>
    <row r="87" spans="1:18" ht="13.15" customHeight="1" x14ac:dyDescent="0.25">
      <c r="A87" s="192" t="s">
        <v>1355</v>
      </c>
      <c r="B87" s="192" t="s">
        <v>1520</v>
      </c>
      <c r="C87" s="192" t="s">
        <v>1519</v>
      </c>
      <c r="D87" s="192"/>
      <c r="E87" s="192"/>
      <c r="F87" s="193"/>
      <c r="G87" s="193"/>
      <c r="H87" s="192" t="s">
        <v>1521</v>
      </c>
      <c r="I87" s="195" t="s">
        <v>622</v>
      </c>
      <c r="J87" s="192" t="s">
        <v>602</v>
      </c>
      <c r="K87" s="192" t="s">
        <v>603</v>
      </c>
      <c r="L87" s="192" t="s">
        <v>604</v>
      </c>
      <c r="M87" s="192" t="s">
        <v>605</v>
      </c>
      <c r="N87" s="192"/>
      <c r="O87" s="192"/>
      <c r="P87" s="192"/>
      <c r="Q87" s="192"/>
      <c r="R87" s="192" t="s">
        <v>1003</v>
      </c>
    </row>
    <row r="88" spans="1:18" ht="13.15" customHeight="1" x14ac:dyDescent="0.25">
      <c r="A88" s="192" t="s">
        <v>1355</v>
      </c>
      <c r="B88" s="194"/>
      <c r="C88" s="192" t="s">
        <v>1524</v>
      </c>
      <c r="D88" s="192"/>
      <c r="E88" s="192"/>
      <c r="F88" s="193"/>
      <c r="G88" s="193"/>
      <c r="H88" s="192" t="s">
        <v>1525</v>
      </c>
      <c r="I88" s="195" t="s">
        <v>622</v>
      </c>
      <c r="J88" s="192" t="s">
        <v>602</v>
      </c>
      <c r="K88" s="192" t="s">
        <v>603</v>
      </c>
      <c r="L88" s="192" t="s">
        <v>604</v>
      </c>
      <c r="M88" s="192" t="s">
        <v>605</v>
      </c>
      <c r="N88" s="192"/>
      <c r="O88" s="192"/>
      <c r="P88" s="192"/>
      <c r="Q88" s="192"/>
      <c r="R88" s="192" t="s">
        <v>1003</v>
      </c>
    </row>
    <row r="89" spans="1:18" ht="13.15" customHeight="1" x14ac:dyDescent="0.25">
      <c r="A89" s="192" t="s">
        <v>1355</v>
      </c>
      <c r="B89" s="192" t="s">
        <v>1517</v>
      </c>
      <c r="C89" s="192" t="s">
        <v>1516</v>
      </c>
      <c r="D89" s="192"/>
      <c r="E89" s="192"/>
      <c r="F89" s="193"/>
      <c r="G89" s="193"/>
      <c r="H89" s="192" t="s">
        <v>1518</v>
      </c>
      <c r="I89" s="192" t="s">
        <v>601</v>
      </c>
      <c r="J89" s="192" t="s">
        <v>602</v>
      </c>
      <c r="K89" s="192" t="s">
        <v>603</v>
      </c>
      <c r="L89" s="192" t="s">
        <v>604</v>
      </c>
      <c r="M89" s="192" t="s">
        <v>605</v>
      </c>
      <c r="N89" s="192"/>
      <c r="O89" s="192"/>
      <c r="P89" s="192"/>
      <c r="Q89" s="192"/>
      <c r="R89" s="192" t="s">
        <v>1003</v>
      </c>
    </row>
    <row r="90" spans="1:18" ht="13.15" customHeight="1" x14ac:dyDescent="0.25">
      <c r="A90" s="192" t="s">
        <v>1355</v>
      </c>
      <c r="B90" s="194"/>
      <c r="C90" s="192" t="s">
        <v>1512</v>
      </c>
      <c r="D90" s="192"/>
      <c r="E90" s="192"/>
      <c r="F90" s="193"/>
      <c r="G90" s="193"/>
      <c r="H90" s="192" t="s">
        <v>1513</v>
      </c>
      <c r="I90" s="195" t="s">
        <v>622</v>
      </c>
      <c r="J90" s="192" t="s">
        <v>602</v>
      </c>
      <c r="K90" s="192" t="s">
        <v>1002</v>
      </c>
      <c r="L90" s="192" t="s">
        <v>604</v>
      </c>
      <c r="M90" s="192" t="s">
        <v>605</v>
      </c>
      <c r="N90" s="192" t="s">
        <v>1448</v>
      </c>
      <c r="O90" s="192"/>
      <c r="P90" s="192"/>
      <c r="Q90" s="192"/>
      <c r="R90" s="192" t="s">
        <v>1003</v>
      </c>
    </row>
    <row r="91" spans="1:18" ht="13.15" customHeight="1" x14ac:dyDescent="0.25">
      <c r="A91" s="192" t="s">
        <v>1355</v>
      </c>
      <c r="B91" s="192" t="s">
        <v>1510</v>
      </c>
      <c r="C91" s="192" t="s">
        <v>1509</v>
      </c>
      <c r="D91" s="192">
        <v>106150.15</v>
      </c>
      <c r="E91" s="192">
        <v>151285.19</v>
      </c>
      <c r="F91" s="193"/>
      <c r="G91" s="193"/>
      <c r="H91" s="192" t="s">
        <v>1511</v>
      </c>
      <c r="I91" s="192" t="s">
        <v>601</v>
      </c>
      <c r="J91" s="192" t="s">
        <v>602</v>
      </c>
      <c r="K91" s="192" t="s">
        <v>1002</v>
      </c>
      <c r="L91" s="192" t="s">
        <v>604</v>
      </c>
      <c r="M91" s="192" t="s">
        <v>605</v>
      </c>
      <c r="N91" s="192"/>
      <c r="O91" s="192"/>
      <c r="P91" s="192"/>
      <c r="Q91" s="192"/>
      <c r="R91" s="192" t="s">
        <v>1003</v>
      </c>
    </row>
    <row r="92" spans="1:18" ht="13.15" customHeight="1" x14ac:dyDescent="0.25">
      <c r="A92" s="192" t="s">
        <v>1355</v>
      </c>
      <c r="B92" s="194"/>
      <c r="C92" s="192" t="s">
        <v>1507</v>
      </c>
      <c r="D92" s="192"/>
      <c r="E92" s="192"/>
      <c r="F92" s="193"/>
      <c r="G92" s="193"/>
      <c r="H92" s="192" t="s">
        <v>1508</v>
      </c>
      <c r="I92" s="192" t="s">
        <v>601</v>
      </c>
      <c r="J92" s="192" t="s">
        <v>602</v>
      </c>
      <c r="K92" s="192" t="s">
        <v>1002</v>
      </c>
      <c r="L92" s="192" t="s">
        <v>604</v>
      </c>
      <c r="M92" s="192" t="s">
        <v>605</v>
      </c>
      <c r="N92" s="192" t="s">
        <v>1448</v>
      </c>
      <c r="O92" s="192"/>
      <c r="P92" s="192"/>
      <c r="Q92" s="192"/>
      <c r="R92" s="192" t="s">
        <v>1003</v>
      </c>
    </row>
    <row r="93" spans="1:18" ht="13.15" customHeight="1" x14ac:dyDescent="0.25">
      <c r="A93" s="192" t="s">
        <v>1355</v>
      </c>
      <c r="B93" s="194"/>
      <c r="C93" s="192" t="s">
        <v>1505</v>
      </c>
      <c r="D93" s="192">
        <v>102368.12</v>
      </c>
      <c r="E93" s="192">
        <v>145895.04000000001</v>
      </c>
      <c r="F93" s="193"/>
      <c r="G93" s="193"/>
      <c r="H93" s="192" t="s">
        <v>1506</v>
      </c>
      <c r="I93" s="195" t="s">
        <v>622</v>
      </c>
      <c r="J93" s="192" t="s">
        <v>602</v>
      </c>
      <c r="K93" s="192" t="s">
        <v>603</v>
      </c>
      <c r="L93" s="192" t="s">
        <v>604</v>
      </c>
      <c r="M93" s="192" t="s">
        <v>605</v>
      </c>
      <c r="N93" s="192"/>
      <c r="O93" s="192"/>
      <c r="P93" s="192"/>
      <c r="Q93" s="192"/>
      <c r="R93" s="192" t="s">
        <v>1003</v>
      </c>
    </row>
    <row r="94" spans="1:18" ht="13.15" customHeight="1" x14ac:dyDescent="0.25">
      <c r="A94" s="192" t="s">
        <v>1355</v>
      </c>
      <c r="B94" s="192" t="s">
        <v>1503</v>
      </c>
      <c r="C94" s="192" t="s">
        <v>1502</v>
      </c>
      <c r="D94" s="192">
        <v>28229.97</v>
      </c>
      <c r="E94" s="192">
        <v>40233.35</v>
      </c>
      <c r="F94" s="193"/>
      <c r="G94" s="193"/>
      <c r="H94" s="192" t="s">
        <v>1504</v>
      </c>
      <c r="I94" s="192" t="s">
        <v>601</v>
      </c>
      <c r="J94" s="192" t="s">
        <v>602</v>
      </c>
      <c r="K94" s="192" t="s">
        <v>1002</v>
      </c>
      <c r="L94" s="192" t="s">
        <v>604</v>
      </c>
      <c r="M94" s="192" t="s">
        <v>605</v>
      </c>
      <c r="N94" s="192"/>
      <c r="O94" s="192"/>
      <c r="P94" s="192"/>
      <c r="Q94" s="192"/>
      <c r="R94" s="192" t="s">
        <v>1003</v>
      </c>
    </row>
    <row r="95" spans="1:18" ht="13.15" customHeight="1" x14ac:dyDescent="0.25">
      <c r="A95" s="192" t="s">
        <v>1355</v>
      </c>
      <c r="B95" s="192" t="s">
        <v>1500</v>
      </c>
      <c r="C95" s="192" t="s">
        <v>1499</v>
      </c>
      <c r="D95" s="192">
        <v>127528.25</v>
      </c>
      <c r="E95" s="192">
        <v>181753.26</v>
      </c>
      <c r="F95" s="193"/>
      <c r="G95" s="193"/>
      <c r="H95" s="192" t="s">
        <v>1501</v>
      </c>
      <c r="I95" s="195" t="s">
        <v>622</v>
      </c>
      <c r="J95" s="192" t="s">
        <v>602</v>
      </c>
      <c r="K95" s="192" t="s">
        <v>1002</v>
      </c>
      <c r="L95" s="192" t="s">
        <v>604</v>
      </c>
      <c r="M95" s="192" t="s">
        <v>605</v>
      </c>
      <c r="N95" s="192"/>
      <c r="O95" s="192"/>
      <c r="P95" s="192"/>
      <c r="Q95" s="192"/>
      <c r="R95" s="192" t="s">
        <v>1003</v>
      </c>
    </row>
    <row r="96" spans="1:18" ht="13.15" customHeight="1" x14ac:dyDescent="0.25">
      <c r="A96" s="192" t="s">
        <v>1355</v>
      </c>
      <c r="B96" s="192" t="s">
        <v>1497</v>
      </c>
      <c r="C96" s="192" t="s">
        <v>1496</v>
      </c>
      <c r="D96" s="192"/>
      <c r="E96" s="192"/>
      <c r="F96" s="193"/>
      <c r="G96" s="193"/>
      <c r="H96" s="192" t="s">
        <v>1498</v>
      </c>
      <c r="I96" s="192" t="s">
        <v>601</v>
      </c>
      <c r="J96" s="192" t="s">
        <v>602</v>
      </c>
      <c r="K96" s="192" t="s">
        <v>603</v>
      </c>
      <c r="L96" s="192" t="s">
        <v>604</v>
      </c>
      <c r="M96" s="192" t="s">
        <v>605</v>
      </c>
      <c r="N96" s="192"/>
      <c r="O96" s="192"/>
      <c r="P96" s="192"/>
      <c r="Q96" s="192"/>
      <c r="R96" s="192" t="s">
        <v>1003</v>
      </c>
    </row>
    <row r="97" spans="1:18" ht="13.15" customHeight="1" x14ac:dyDescent="0.25">
      <c r="A97" s="192" t="s">
        <v>1355</v>
      </c>
      <c r="B97" s="194"/>
      <c r="C97" s="192" t="s">
        <v>1514</v>
      </c>
      <c r="D97" s="192"/>
      <c r="E97" s="192"/>
      <c r="F97" s="193"/>
      <c r="G97" s="193"/>
      <c r="H97" s="192" t="s">
        <v>1515</v>
      </c>
      <c r="I97" s="195" t="s">
        <v>622</v>
      </c>
      <c r="J97" s="192" t="s">
        <v>602</v>
      </c>
      <c r="K97" s="192" t="s">
        <v>1002</v>
      </c>
      <c r="L97" s="192" t="s">
        <v>604</v>
      </c>
      <c r="M97" s="192" t="s">
        <v>605</v>
      </c>
      <c r="N97" s="192"/>
      <c r="O97" s="192"/>
      <c r="P97" s="192"/>
      <c r="Q97" s="192"/>
      <c r="R97" s="192" t="s">
        <v>1003</v>
      </c>
    </row>
    <row r="98" spans="1:18" ht="13.15" customHeight="1" x14ac:dyDescent="0.25">
      <c r="A98" s="192" t="s">
        <v>1536</v>
      </c>
      <c r="B98" s="194"/>
      <c r="C98" s="192" t="s">
        <v>1826</v>
      </c>
      <c r="D98" s="192"/>
      <c r="E98" s="192"/>
      <c r="F98" s="193"/>
      <c r="G98" s="193"/>
      <c r="H98" s="192" t="s">
        <v>1827</v>
      </c>
      <c r="I98" s="192" t="s">
        <v>601</v>
      </c>
      <c r="J98" s="192" t="s">
        <v>602</v>
      </c>
      <c r="K98" s="192" t="s">
        <v>1002</v>
      </c>
      <c r="L98" s="192" t="s">
        <v>604</v>
      </c>
      <c r="M98" s="192" t="s">
        <v>605</v>
      </c>
      <c r="N98" s="192" t="s">
        <v>1828</v>
      </c>
      <c r="O98" s="192"/>
      <c r="P98" s="192"/>
      <c r="Q98" s="192"/>
      <c r="R98" s="192" t="s">
        <v>1003</v>
      </c>
    </row>
    <row r="99" spans="1:18" ht="13.15" customHeight="1" x14ac:dyDescent="0.25">
      <c r="A99" s="192" t="s">
        <v>1355</v>
      </c>
      <c r="B99" s="194"/>
      <c r="C99" s="192" t="s">
        <v>1494</v>
      </c>
      <c r="D99" s="192"/>
      <c r="E99" s="192"/>
      <c r="F99" s="193"/>
      <c r="G99" s="193"/>
      <c r="H99" s="192" t="s">
        <v>1495</v>
      </c>
      <c r="I99" s="195" t="s">
        <v>622</v>
      </c>
      <c r="J99" s="192" t="s">
        <v>602</v>
      </c>
      <c r="K99" s="192" t="s">
        <v>1002</v>
      </c>
      <c r="L99" s="192" t="s">
        <v>604</v>
      </c>
      <c r="M99" s="192" t="s">
        <v>605</v>
      </c>
      <c r="N99" s="192" t="s">
        <v>1448</v>
      </c>
      <c r="O99" s="192"/>
      <c r="P99" s="192"/>
      <c r="Q99" s="192"/>
      <c r="R99" s="192" t="s">
        <v>1003</v>
      </c>
    </row>
    <row r="100" spans="1:18" ht="13.15" customHeight="1" x14ac:dyDescent="0.25">
      <c r="A100" s="192" t="s">
        <v>1355</v>
      </c>
      <c r="B100" s="192" t="s">
        <v>1492</v>
      </c>
      <c r="C100" s="192" t="s">
        <v>1491</v>
      </c>
      <c r="D100" s="192">
        <v>92654.2</v>
      </c>
      <c r="E100" s="192">
        <v>132050.76999999999</v>
      </c>
      <c r="F100" s="193"/>
      <c r="G100" s="193"/>
      <c r="H100" s="192" t="s">
        <v>1493</v>
      </c>
      <c r="I100" s="192" t="s">
        <v>601</v>
      </c>
      <c r="J100" s="192" t="s">
        <v>602</v>
      </c>
      <c r="K100" s="192" t="s">
        <v>1002</v>
      </c>
      <c r="L100" s="192" t="s">
        <v>604</v>
      </c>
      <c r="M100" s="192" t="s">
        <v>605</v>
      </c>
      <c r="N100" s="192"/>
      <c r="O100" s="192"/>
      <c r="P100" s="192"/>
      <c r="Q100" s="192"/>
      <c r="R100" s="192" t="s">
        <v>1003</v>
      </c>
    </row>
    <row r="101" spans="1:18" ht="13.15" customHeight="1" x14ac:dyDescent="0.25">
      <c r="A101" s="192" t="s">
        <v>1355</v>
      </c>
      <c r="B101" s="194"/>
      <c r="C101" s="192" t="s">
        <v>1489</v>
      </c>
      <c r="D101" s="192">
        <v>100965.77</v>
      </c>
      <c r="E101" s="192">
        <v>143896.42000000001</v>
      </c>
      <c r="F101" s="193"/>
      <c r="G101" s="193"/>
      <c r="H101" s="192" t="s">
        <v>1490</v>
      </c>
      <c r="I101" s="195" t="s">
        <v>622</v>
      </c>
      <c r="J101" s="192" t="s">
        <v>602</v>
      </c>
      <c r="K101" s="192" t="s">
        <v>603</v>
      </c>
      <c r="L101" s="192" t="s">
        <v>604</v>
      </c>
      <c r="M101" s="192" t="s">
        <v>605</v>
      </c>
      <c r="N101" s="192"/>
      <c r="O101" s="192"/>
      <c r="P101" s="192"/>
      <c r="Q101" s="192"/>
      <c r="R101" s="192" t="s">
        <v>1003</v>
      </c>
    </row>
    <row r="102" spans="1:18" ht="13.15" customHeight="1" x14ac:dyDescent="0.25">
      <c r="A102" s="192" t="s">
        <v>1355</v>
      </c>
      <c r="B102" s="192" t="s">
        <v>1487</v>
      </c>
      <c r="C102" s="192" t="s">
        <v>1486</v>
      </c>
      <c r="D102" s="192">
        <v>26576.26</v>
      </c>
      <c r="E102" s="192">
        <v>37876.49</v>
      </c>
      <c r="F102" s="193"/>
      <c r="G102" s="193"/>
      <c r="H102" s="192" t="s">
        <v>1488</v>
      </c>
      <c r="I102" s="192" t="s">
        <v>601</v>
      </c>
      <c r="J102" s="192" t="s">
        <v>602</v>
      </c>
      <c r="K102" s="192" t="s">
        <v>603</v>
      </c>
      <c r="L102" s="192" t="s">
        <v>604</v>
      </c>
      <c r="M102" s="192" t="s">
        <v>605</v>
      </c>
      <c r="N102" s="192"/>
      <c r="O102" s="192"/>
      <c r="P102" s="192"/>
      <c r="Q102" s="192"/>
      <c r="R102" s="192" t="s">
        <v>1003</v>
      </c>
    </row>
    <row r="103" spans="1:18" ht="13.15" customHeight="1" x14ac:dyDescent="0.25">
      <c r="A103" s="192" t="s">
        <v>1355</v>
      </c>
      <c r="B103" s="192" t="s">
        <v>1484</v>
      </c>
      <c r="C103" s="192" t="s">
        <v>1483</v>
      </c>
      <c r="D103" s="192"/>
      <c r="E103" s="192"/>
      <c r="F103" s="193"/>
      <c r="G103" s="193"/>
      <c r="H103" s="192" t="s">
        <v>1485</v>
      </c>
      <c r="I103" s="195" t="s">
        <v>622</v>
      </c>
      <c r="J103" s="192" t="s">
        <v>602</v>
      </c>
      <c r="K103" s="192" t="s">
        <v>603</v>
      </c>
      <c r="L103" s="192" t="s">
        <v>604</v>
      </c>
      <c r="M103" s="192" t="s">
        <v>605</v>
      </c>
      <c r="N103" s="192"/>
      <c r="O103" s="192"/>
      <c r="P103" s="192"/>
      <c r="Q103" s="192"/>
      <c r="R103" s="192" t="s">
        <v>1003</v>
      </c>
    </row>
    <row r="104" spans="1:18" ht="13.15" customHeight="1" x14ac:dyDescent="0.25">
      <c r="A104" s="192" t="s">
        <v>1355</v>
      </c>
      <c r="B104" s="192" t="s">
        <v>1478</v>
      </c>
      <c r="C104" s="192" t="s">
        <v>1477</v>
      </c>
      <c r="D104" s="192"/>
      <c r="E104" s="192"/>
      <c r="F104" s="193"/>
      <c r="G104" s="193"/>
      <c r="H104" s="192" t="s">
        <v>1479</v>
      </c>
      <c r="I104" s="195" t="s">
        <v>622</v>
      </c>
      <c r="J104" s="192" t="s">
        <v>602</v>
      </c>
      <c r="K104" s="192" t="s">
        <v>1002</v>
      </c>
      <c r="L104" s="192" t="s">
        <v>604</v>
      </c>
      <c r="M104" s="192" t="s">
        <v>605</v>
      </c>
      <c r="N104" s="192" t="s">
        <v>1448</v>
      </c>
      <c r="O104" s="192"/>
      <c r="P104" s="192"/>
      <c r="Q104" s="192"/>
      <c r="R104" s="192" t="s">
        <v>1003</v>
      </c>
    </row>
    <row r="105" spans="1:18" ht="13.15" customHeight="1" x14ac:dyDescent="0.25">
      <c r="A105" s="192" t="s">
        <v>1355</v>
      </c>
      <c r="B105" s="192" t="s">
        <v>1475</v>
      </c>
      <c r="C105" s="192" t="s">
        <v>1474</v>
      </c>
      <c r="D105" s="192">
        <v>73134.34</v>
      </c>
      <c r="E105" s="192">
        <v>104231.06</v>
      </c>
      <c r="F105" s="193"/>
      <c r="G105" s="193"/>
      <c r="H105" s="192" t="s">
        <v>1476</v>
      </c>
      <c r="I105" s="192" t="s">
        <v>601</v>
      </c>
      <c r="J105" s="192" t="s">
        <v>602</v>
      </c>
      <c r="K105" s="192" t="s">
        <v>1002</v>
      </c>
      <c r="L105" s="192" t="s">
        <v>604</v>
      </c>
      <c r="M105" s="192" t="s">
        <v>605</v>
      </c>
      <c r="N105" s="192"/>
      <c r="O105" s="192"/>
      <c r="P105" s="192"/>
      <c r="Q105" s="192"/>
      <c r="R105" s="192" t="s">
        <v>1003</v>
      </c>
    </row>
    <row r="106" spans="1:18" ht="13.15" customHeight="1" x14ac:dyDescent="0.25">
      <c r="A106" s="192" t="s">
        <v>1355</v>
      </c>
      <c r="B106" s="194"/>
      <c r="C106" s="192" t="s">
        <v>1472</v>
      </c>
      <c r="D106" s="192"/>
      <c r="E106" s="192"/>
      <c r="F106" s="193"/>
      <c r="G106" s="193"/>
      <c r="H106" s="192" t="s">
        <v>1473</v>
      </c>
      <c r="I106" s="192" t="s">
        <v>601</v>
      </c>
      <c r="J106" s="192" t="s">
        <v>602</v>
      </c>
      <c r="K106" s="192" t="s">
        <v>1002</v>
      </c>
      <c r="L106" s="192" t="s">
        <v>604</v>
      </c>
      <c r="M106" s="192" t="s">
        <v>605</v>
      </c>
      <c r="N106" s="192" t="s">
        <v>1448</v>
      </c>
      <c r="O106" s="192"/>
      <c r="P106" s="192"/>
      <c r="Q106" s="192"/>
      <c r="R106" s="192" t="s">
        <v>1003</v>
      </c>
    </row>
    <row r="107" spans="1:18" ht="13.15" customHeight="1" x14ac:dyDescent="0.25">
      <c r="A107" s="192" t="s">
        <v>1355</v>
      </c>
      <c r="B107" s="194"/>
      <c r="C107" s="192" t="s">
        <v>1470</v>
      </c>
      <c r="D107" s="192"/>
      <c r="E107" s="192"/>
      <c r="F107" s="193"/>
      <c r="G107" s="193"/>
      <c r="H107" s="192" t="s">
        <v>1471</v>
      </c>
      <c r="I107" s="192" t="s">
        <v>601</v>
      </c>
      <c r="J107" s="192" t="s">
        <v>602</v>
      </c>
      <c r="K107" s="192" t="s">
        <v>1002</v>
      </c>
      <c r="L107" s="192" t="s">
        <v>604</v>
      </c>
      <c r="M107" s="192" t="s">
        <v>605</v>
      </c>
      <c r="N107" s="192" t="s">
        <v>1448</v>
      </c>
      <c r="O107" s="192"/>
      <c r="P107" s="192"/>
      <c r="Q107" s="192"/>
      <c r="R107" s="192" t="s">
        <v>1003</v>
      </c>
    </row>
    <row r="108" spans="1:18" ht="13.15" customHeight="1" x14ac:dyDescent="0.25">
      <c r="A108" s="192" t="s">
        <v>1355</v>
      </c>
      <c r="B108" s="192" t="s">
        <v>1467</v>
      </c>
      <c r="C108" s="192" t="s">
        <v>1466</v>
      </c>
      <c r="D108" s="192">
        <v>80021.490000000005</v>
      </c>
      <c r="E108" s="192">
        <v>114046.63</v>
      </c>
      <c r="F108" s="193"/>
      <c r="G108" s="193"/>
      <c r="H108" s="192" t="s">
        <v>1468</v>
      </c>
      <c r="I108" s="195" t="s">
        <v>1469</v>
      </c>
      <c r="J108" s="192" t="s">
        <v>602</v>
      </c>
      <c r="K108" s="192" t="s">
        <v>1002</v>
      </c>
      <c r="L108" s="192" t="s">
        <v>604</v>
      </c>
      <c r="M108" s="192" t="s">
        <v>605</v>
      </c>
      <c r="N108" s="192"/>
      <c r="O108" s="192"/>
      <c r="P108" s="192"/>
      <c r="Q108" s="192"/>
      <c r="R108" s="192" t="s">
        <v>1003</v>
      </c>
    </row>
    <row r="109" spans="1:18" ht="13.15" customHeight="1" x14ac:dyDescent="0.25">
      <c r="A109" s="192" t="s">
        <v>1355</v>
      </c>
      <c r="B109" s="192" t="s">
        <v>1464</v>
      </c>
      <c r="C109" s="192" t="s">
        <v>1463</v>
      </c>
      <c r="D109" s="192">
        <v>24051.040000000001</v>
      </c>
      <c r="E109" s="192">
        <v>34277.54</v>
      </c>
      <c r="F109" s="193"/>
      <c r="G109" s="193"/>
      <c r="H109" s="192" t="s">
        <v>1465</v>
      </c>
      <c r="I109" s="192" t="s">
        <v>601</v>
      </c>
      <c r="J109" s="192" t="s">
        <v>602</v>
      </c>
      <c r="K109" s="192" t="s">
        <v>603</v>
      </c>
      <c r="L109" s="192" t="s">
        <v>604</v>
      </c>
      <c r="M109" s="192" t="s">
        <v>605</v>
      </c>
      <c r="N109" s="192"/>
      <c r="O109" s="192"/>
      <c r="P109" s="192"/>
      <c r="Q109" s="192"/>
      <c r="R109" s="192" t="s">
        <v>1003</v>
      </c>
    </row>
    <row r="110" spans="1:18" ht="13.15" customHeight="1" x14ac:dyDescent="0.25">
      <c r="A110" s="192" t="s">
        <v>1355</v>
      </c>
      <c r="B110" s="192" t="s">
        <v>1461</v>
      </c>
      <c r="C110" s="192" t="s">
        <v>1460</v>
      </c>
      <c r="D110" s="192">
        <v>91735.29</v>
      </c>
      <c r="E110" s="192">
        <v>130741.14</v>
      </c>
      <c r="F110" s="193"/>
      <c r="G110" s="193"/>
      <c r="H110" s="192" t="s">
        <v>1462</v>
      </c>
      <c r="I110" s="195" t="s">
        <v>622</v>
      </c>
      <c r="J110" s="192" t="s">
        <v>602</v>
      </c>
      <c r="K110" s="192" t="s">
        <v>1002</v>
      </c>
      <c r="L110" s="192" t="s">
        <v>604</v>
      </c>
      <c r="M110" s="192" t="s">
        <v>605</v>
      </c>
      <c r="N110" s="192"/>
      <c r="O110" s="192"/>
      <c r="P110" s="192"/>
      <c r="Q110" s="192"/>
      <c r="R110" s="192" t="s">
        <v>1003</v>
      </c>
    </row>
    <row r="111" spans="1:18" ht="13.15" customHeight="1" x14ac:dyDescent="0.25">
      <c r="A111" s="192" t="s">
        <v>1355</v>
      </c>
      <c r="B111" s="192" t="s">
        <v>1458</v>
      </c>
      <c r="C111" s="192" t="s">
        <v>1457</v>
      </c>
      <c r="D111" s="192"/>
      <c r="E111" s="192"/>
      <c r="F111" s="193"/>
      <c r="G111" s="193"/>
      <c r="H111" s="192" t="s">
        <v>1459</v>
      </c>
      <c r="I111" s="195" t="s">
        <v>622</v>
      </c>
      <c r="J111" s="192" t="s">
        <v>602</v>
      </c>
      <c r="K111" s="192" t="s">
        <v>603</v>
      </c>
      <c r="L111" s="192" t="s">
        <v>604</v>
      </c>
      <c r="M111" s="192" t="s">
        <v>605</v>
      </c>
      <c r="N111" s="192"/>
      <c r="O111" s="192"/>
      <c r="P111" s="192"/>
      <c r="Q111" s="192"/>
      <c r="R111" s="192" t="s">
        <v>1003</v>
      </c>
    </row>
    <row r="112" spans="1:18" ht="13.15" customHeight="1" x14ac:dyDescent="0.25">
      <c r="A112" s="192" t="s">
        <v>1355</v>
      </c>
      <c r="B112" s="192" t="s">
        <v>1481</v>
      </c>
      <c r="C112" s="192" t="s">
        <v>1480</v>
      </c>
      <c r="D112" s="192"/>
      <c r="E112" s="192"/>
      <c r="F112" s="193"/>
      <c r="G112" s="193"/>
      <c r="H112" s="192" t="s">
        <v>1482</v>
      </c>
      <c r="I112" s="192" t="s">
        <v>601</v>
      </c>
      <c r="J112" s="192" t="s">
        <v>602</v>
      </c>
      <c r="K112" s="192" t="s">
        <v>1002</v>
      </c>
      <c r="L112" s="192" t="s">
        <v>604</v>
      </c>
      <c r="M112" s="192" t="s">
        <v>605</v>
      </c>
      <c r="N112" s="192"/>
      <c r="O112" s="192"/>
      <c r="P112" s="192"/>
      <c r="Q112" s="192"/>
      <c r="R112" s="192" t="s">
        <v>1003</v>
      </c>
    </row>
    <row r="113" spans="1:18" ht="13.15" customHeight="1" x14ac:dyDescent="0.25">
      <c r="A113" s="192" t="s">
        <v>1355</v>
      </c>
      <c r="B113" s="192" t="s">
        <v>1455</v>
      </c>
      <c r="C113" s="192" t="s">
        <v>1454</v>
      </c>
      <c r="D113" s="192"/>
      <c r="E113" s="192"/>
      <c r="F113" s="193"/>
      <c r="G113" s="193"/>
      <c r="H113" s="192" t="s">
        <v>1456</v>
      </c>
      <c r="I113" s="195" t="s">
        <v>622</v>
      </c>
      <c r="J113" s="192" t="s">
        <v>602</v>
      </c>
      <c r="K113" s="192" t="s">
        <v>603</v>
      </c>
      <c r="L113" s="192" t="s">
        <v>604</v>
      </c>
      <c r="M113" s="192" t="s">
        <v>605</v>
      </c>
      <c r="N113" s="192"/>
      <c r="O113" s="192"/>
      <c r="P113" s="192"/>
      <c r="Q113" s="192"/>
      <c r="R113" s="192" t="s">
        <v>1003</v>
      </c>
    </row>
    <row r="114" spans="1:18" ht="13.15" customHeight="1" x14ac:dyDescent="0.25">
      <c r="A114" s="192" t="s">
        <v>1536</v>
      </c>
      <c r="B114" s="192" t="s">
        <v>1824</v>
      </c>
      <c r="C114" s="192" t="s">
        <v>1823</v>
      </c>
      <c r="D114" s="192"/>
      <c r="E114" s="192"/>
      <c r="F114" s="193"/>
      <c r="G114" s="193"/>
      <c r="H114" s="192" t="s">
        <v>1825</v>
      </c>
      <c r="I114" s="192" t="s">
        <v>601</v>
      </c>
      <c r="J114" s="192" t="s">
        <v>602</v>
      </c>
      <c r="K114" s="192" t="s">
        <v>603</v>
      </c>
      <c r="L114" s="192" t="s">
        <v>604</v>
      </c>
      <c r="M114" s="192" t="s">
        <v>605</v>
      </c>
      <c r="N114" s="192" t="s">
        <v>641</v>
      </c>
      <c r="O114" s="192"/>
      <c r="P114" s="192"/>
      <c r="Q114" s="192"/>
      <c r="R114" s="192" t="s">
        <v>1783</v>
      </c>
    </row>
    <row r="115" spans="1:18" ht="13.15" customHeight="1" x14ac:dyDescent="0.25">
      <c r="A115" s="192" t="s">
        <v>1536</v>
      </c>
      <c r="B115" s="192" t="s">
        <v>1821</v>
      </c>
      <c r="C115" s="192" t="s">
        <v>1820</v>
      </c>
      <c r="D115" s="192"/>
      <c r="E115" s="192"/>
      <c r="F115" s="193"/>
      <c r="G115" s="193"/>
      <c r="H115" s="192" t="s">
        <v>1822</v>
      </c>
      <c r="I115" s="192" t="s">
        <v>601</v>
      </c>
      <c r="J115" s="192" t="s">
        <v>602</v>
      </c>
      <c r="K115" s="192" t="s">
        <v>603</v>
      </c>
      <c r="L115" s="192" t="s">
        <v>1431</v>
      </c>
      <c r="M115" s="192" t="s">
        <v>605</v>
      </c>
      <c r="N115" s="192" t="s">
        <v>623</v>
      </c>
      <c r="O115" s="192"/>
      <c r="P115" s="192"/>
      <c r="Q115" s="192"/>
      <c r="R115" s="192" t="s">
        <v>1003</v>
      </c>
    </row>
    <row r="116" spans="1:18" ht="13.15" customHeight="1" x14ac:dyDescent="0.25">
      <c r="A116" s="192" t="s">
        <v>1536</v>
      </c>
      <c r="B116" s="192" t="s">
        <v>1818</v>
      </c>
      <c r="C116" s="192" t="s">
        <v>1817</v>
      </c>
      <c r="D116" s="192"/>
      <c r="E116" s="192"/>
      <c r="F116" s="193"/>
      <c r="G116" s="193"/>
      <c r="H116" s="192" t="s">
        <v>1819</v>
      </c>
      <c r="I116" s="192" t="s">
        <v>601</v>
      </c>
      <c r="J116" s="192" t="s">
        <v>602</v>
      </c>
      <c r="K116" s="192" t="s">
        <v>603</v>
      </c>
      <c r="L116" s="192" t="s">
        <v>604</v>
      </c>
      <c r="M116" s="192" t="s">
        <v>605</v>
      </c>
      <c r="N116" s="192" t="s">
        <v>623</v>
      </c>
      <c r="O116" s="192"/>
      <c r="P116" s="192"/>
      <c r="Q116" s="192"/>
      <c r="R116" s="192" t="s">
        <v>1783</v>
      </c>
    </row>
    <row r="117" spans="1:18" ht="13.15" customHeight="1" x14ac:dyDescent="0.25">
      <c r="A117" s="192" t="s">
        <v>1536</v>
      </c>
      <c r="B117" s="194"/>
      <c r="C117" s="192" t="s">
        <v>1815</v>
      </c>
      <c r="D117" s="192"/>
      <c r="E117" s="192"/>
      <c r="F117" s="193"/>
      <c r="G117" s="193"/>
      <c r="H117" s="192" t="s">
        <v>1816</v>
      </c>
      <c r="I117" s="192" t="s">
        <v>601</v>
      </c>
      <c r="J117" s="192" t="s">
        <v>602</v>
      </c>
      <c r="K117" s="192" t="s">
        <v>1002</v>
      </c>
      <c r="L117" s="192" t="s">
        <v>1431</v>
      </c>
      <c r="M117" s="192" t="s">
        <v>605</v>
      </c>
      <c r="N117" s="192" t="s">
        <v>623</v>
      </c>
      <c r="O117" s="192"/>
      <c r="P117" s="192"/>
      <c r="Q117" s="192"/>
      <c r="R117" s="192" t="s">
        <v>1783</v>
      </c>
    </row>
    <row r="118" spans="1:18" ht="13.15" customHeight="1" x14ac:dyDescent="0.25">
      <c r="A118" s="192" t="s">
        <v>1536</v>
      </c>
      <c r="B118" s="192" t="s">
        <v>1813</v>
      </c>
      <c r="C118" s="192" t="s">
        <v>1812</v>
      </c>
      <c r="D118" s="192"/>
      <c r="E118" s="192"/>
      <c r="F118" s="193"/>
      <c r="G118" s="193"/>
      <c r="H118" s="192" t="s">
        <v>1814</v>
      </c>
      <c r="I118" s="192" t="s">
        <v>601</v>
      </c>
      <c r="J118" s="192" t="s">
        <v>602</v>
      </c>
      <c r="K118" s="192" t="s">
        <v>1002</v>
      </c>
      <c r="L118" s="192" t="s">
        <v>1431</v>
      </c>
      <c r="M118" s="192" t="s">
        <v>605</v>
      </c>
      <c r="N118" s="192" t="s">
        <v>623</v>
      </c>
      <c r="O118" s="192"/>
      <c r="P118" s="192"/>
      <c r="Q118" s="192"/>
      <c r="R118" s="192" t="s">
        <v>1783</v>
      </c>
    </row>
    <row r="119" spans="1:18" ht="13.15" customHeight="1" x14ac:dyDescent="0.25">
      <c r="A119" s="192" t="s">
        <v>833</v>
      </c>
      <c r="B119" s="192" t="s">
        <v>1000</v>
      </c>
      <c r="C119" s="192" t="s">
        <v>999</v>
      </c>
      <c r="D119" s="192"/>
      <c r="E119" s="192"/>
      <c r="F119" s="193"/>
      <c r="G119" s="193"/>
      <c r="H119" s="192" t="s">
        <v>1001</v>
      </c>
      <c r="I119" s="192" t="s">
        <v>601</v>
      </c>
      <c r="J119" s="192" t="s">
        <v>602</v>
      </c>
      <c r="K119" s="192" t="s">
        <v>1002</v>
      </c>
      <c r="L119" s="192" t="s">
        <v>604</v>
      </c>
      <c r="M119" s="192" t="s">
        <v>605</v>
      </c>
      <c r="N119" s="192" t="s">
        <v>623</v>
      </c>
      <c r="O119" s="192"/>
      <c r="P119" s="192"/>
      <c r="Q119" s="192"/>
      <c r="R119" s="192" t="s">
        <v>1003</v>
      </c>
    </row>
    <row r="120" spans="1:18" ht="13.15" customHeight="1" x14ac:dyDescent="0.25">
      <c r="A120" s="192" t="s">
        <v>1355</v>
      </c>
      <c r="B120" s="192" t="s">
        <v>1450</v>
      </c>
      <c r="C120" s="192" t="s">
        <v>1449</v>
      </c>
      <c r="D120" s="192">
        <v>60904.58</v>
      </c>
      <c r="E120" s="192">
        <v>86801.21</v>
      </c>
      <c r="F120" s="193"/>
      <c r="G120" s="193"/>
      <c r="H120" s="192" t="s">
        <v>1451</v>
      </c>
      <c r="I120" s="192" t="s">
        <v>601</v>
      </c>
      <c r="J120" s="192" t="s">
        <v>602</v>
      </c>
      <c r="K120" s="192" t="s">
        <v>1002</v>
      </c>
      <c r="L120" s="192" t="s">
        <v>604</v>
      </c>
      <c r="M120" s="192" t="s">
        <v>605</v>
      </c>
      <c r="N120" s="192"/>
      <c r="O120" s="192"/>
      <c r="P120" s="192"/>
      <c r="Q120" s="192"/>
      <c r="R120" s="192" t="s">
        <v>1003</v>
      </c>
    </row>
    <row r="121" spans="1:18" ht="13.15" customHeight="1" x14ac:dyDescent="0.25">
      <c r="A121" s="192" t="s">
        <v>1355</v>
      </c>
      <c r="B121" s="192" t="s">
        <v>1446</v>
      </c>
      <c r="C121" s="192" t="s">
        <v>1445</v>
      </c>
      <c r="D121" s="192"/>
      <c r="E121" s="192"/>
      <c r="F121" s="193"/>
      <c r="G121" s="193"/>
      <c r="H121" s="192" t="s">
        <v>1447</v>
      </c>
      <c r="I121" s="195" t="s">
        <v>622</v>
      </c>
      <c r="J121" s="192" t="s">
        <v>602</v>
      </c>
      <c r="K121" s="192" t="s">
        <v>603</v>
      </c>
      <c r="L121" s="192" t="s">
        <v>604</v>
      </c>
      <c r="M121" s="192" t="s">
        <v>605</v>
      </c>
      <c r="N121" s="192" t="s">
        <v>1448</v>
      </c>
      <c r="O121" s="192"/>
      <c r="P121" s="192"/>
      <c r="Q121" s="192"/>
      <c r="R121" s="192" t="s">
        <v>1003</v>
      </c>
    </row>
    <row r="122" spans="1:18" ht="13.15" customHeight="1" x14ac:dyDescent="0.25">
      <c r="A122" s="192" t="s">
        <v>1355</v>
      </c>
      <c r="B122" s="192" t="s">
        <v>1443</v>
      </c>
      <c r="C122" s="192" t="s">
        <v>1442</v>
      </c>
      <c r="D122" s="192">
        <v>22836.11</v>
      </c>
      <c r="E122" s="192">
        <v>32546.02</v>
      </c>
      <c r="F122" s="193"/>
      <c r="G122" s="193"/>
      <c r="H122" s="192" t="s">
        <v>1444</v>
      </c>
      <c r="I122" s="192" t="s">
        <v>601</v>
      </c>
      <c r="J122" s="192" t="s">
        <v>602</v>
      </c>
      <c r="K122" s="192" t="s">
        <v>1002</v>
      </c>
      <c r="L122" s="192" t="s">
        <v>604</v>
      </c>
      <c r="M122" s="192" t="s">
        <v>605</v>
      </c>
      <c r="N122" s="192"/>
      <c r="O122" s="192"/>
      <c r="P122" s="192"/>
      <c r="Q122" s="192"/>
      <c r="R122" s="192" t="s">
        <v>1003</v>
      </c>
    </row>
    <row r="123" spans="1:18" ht="13.15" customHeight="1" x14ac:dyDescent="0.25">
      <c r="A123" s="192" t="s">
        <v>1355</v>
      </c>
      <c r="B123" s="192" t="s">
        <v>1439</v>
      </c>
      <c r="C123" s="192" t="s">
        <v>1438</v>
      </c>
      <c r="D123" s="192">
        <v>93191.11</v>
      </c>
      <c r="E123" s="192">
        <v>132815.97</v>
      </c>
      <c r="F123" s="193"/>
      <c r="G123" s="193"/>
      <c r="H123" s="192" t="s">
        <v>1440</v>
      </c>
      <c r="I123" s="192" t="s">
        <v>1441</v>
      </c>
      <c r="J123" s="192" t="s">
        <v>602</v>
      </c>
      <c r="K123" s="192" t="s">
        <v>603</v>
      </c>
      <c r="L123" s="192" t="s">
        <v>604</v>
      </c>
      <c r="M123" s="192" t="s">
        <v>605</v>
      </c>
      <c r="N123" s="192"/>
      <c r="O123" s="192"/>
      <c r="P123" s="192"/>
      <c r="Q123" s="192"/>
      <c r="R123" s="192" t="s">
        <v>1003</v>
      </c>
    </row>
    <row r="124" spans="1:18" ht="13.15" customHeight="1" x14ac:dyDescent="0.25">
      <c r="A124" s="192" t="s">
        <v>1355</v>
      </c>
      <c r="B124" s="192" t="s">
        <v>1436</v>
      </c>
      <c r="C124" s="192" t="s">
        <v>1435</v>
      </c>
      <c r="D124" s="192">
        <v>77247.12</v>
      </c>
      <c r="E124" s="192">
        <v>110092.6</v>
      </c>
      <c r="F124" s="193"/>
      <c r="G124" s="193"/>
      <c r="H124" s="192" t="s">
        <v>1437</v>
      </c>
      <c r="I124" s="195" t="s">
        <v>622</v>
      </c>
      <c r="J124" s="192" t="s">
        <v>602</v>
      </c>
      <c r="K124" s="192" t="s">
        <v>603</v>
      </c>
      <c r="L124" s="192" t="s">
        <v>604</v>
      </c>
      <c r="M124" s="192" t="s">
        <v>605</v>
      </c>
      <c r="N124" s="192"/>
      <c r="O124" s="192"/>
      <c r="P124" s="192"/>
      <c r="Q124" s="192"/>
      <c r="R124" s="192" t="s">
        <v>1003</v>
      </c>
    </row>
    <row r="125" spans="1:18" ht="13.15" customHeight="1" x14ac:dyDescent="0.25">
      <c r="A125" s="192" t="s">
        <v>1355</v>
      </c>
      <c r="B125" s="194"/>
      <c r="C125" s="192" t="s">
        <v>1452</v>
      </c>
      <c r="D125" s="192"/>
      <c r="E125" s="192"/>
      <c r="F125" s="193"/>
      <c r="G125" s="193"/>
      <c r="H125" s="192" t="s">
        <v>1453</v>
      </c>
      <c r="I125" s="192" t="s">
        <v>601</v>
      </c>
      <c r="J125" s="192" t="s">
        <v>602</v>
      </c>
      <c r="K125" s="192" t="s">
        <v>603</v>
      </c>
      <c r="L125" s="192" t="s">
        <v>604</v>
      </c>
      <c r="M125" s="192" t="s">
        <v>605</v>
      </c>
      <c r="N125" s="192"/>
      <c r="O125" s="192"/>
      <c r="P125" s="192"/>
      <c r="Q125" s="192"/>
      <c r="R125" s="192" t="s">
        <v>1003</v>
      </c>
    </row>
    <row r="126" spans="1:18" ht="13.15" customHeight="1" x14ac:dyDescent="0.25">
      <c r="A126" s="192" t="s">
        <v>1355</v>
      </c>
      <c r="B126" s="192" t="s">
        <v>1433</v>
      </c>
      <c r="C126" s="192" t="s">
        <v>1432</v>
      </c>
      <c r="D126" s="192">
        <v>1.1100000000000001</v>
      </c>
      <c r="E126" s="192">
        <v>1.58</v>
      </c>
      <c r="F126" s="193"/>
      <c r="G126" s="193"/>
      <c r="H126" s="192" t="s">
        <v>1434</v>
      </c>
      <c r="I126" s="192" t="s">
        <v>601</v>
      </c>
      <c r="J126" s="192" t="s">
        <v>602</v>
      </c>
      <c r="K126" s="192" t="s">
        <v>603</v>
      </c>
      <c r="L126" s="192" t="s">
        <v>604</v>
      </c>
      <c r="M126" s="192" t="s">
        <v>605</v>
      </c>
      <c r="N126" s="192"/>
      <c r="O126" s="192"/>
      <c r="P126" s="192"/>
      <c r="Q126" s="192"/>
      <c r="R126" s="192" t="s">
        <v>1003</v>
      </c>
    </row>
    <row r="127" spans="1:18" ht="13.15" customHeight="1" x14ac:dyDescent="0.25">
      <c r="A127" s="192" t="s">
        <v>1355</v>
      </c>
      <c r="B127" s="192" t="s">
        <v>1429</v>
      </c>
      <c r="C127" s="192" t="s">
        <v>1428</v>
      </c>
      <c r="D127" s="192"/>
      <c r="E127" s="192"/>
      <c r="F127" s="193"/>
      <c r="G127" s="193"/>
      <c r="H127" s="192" t="s">
        <v>1430</v>
      </c>
      <c r="I127" s="192" t="s">
        <v>601</v>
      </c>
      <c r="J127" s="192" t="s">
        <v>602</v>
      </c>
      <c r="K127" s="192" t="s">
        <v>603</v>
      </c>
      <c r="L127" s="192" t="s">
        <v>1431</v>
      </c>
      <c r="M127" s="192" t="s">
        <v>605</v>
      </c>
      <c r="N127" s="192"/>
      <c r="O127" s="192"/>
      <c r="P127" s="192"/>
      <c r="Q127" s="192"/>
      <c r="R127" s="192" t="s">
        <v>1003</v>
      </c>
    </row>
    <row r="128" spans="1:18" ht="13.15" customHeight="1" x14ac:dyDescent="0.25">
      <c r="A128" s="192" t="s">
        <v>1355</v>
      </c>
      <c r="B128" s="192" t="s">
        <v>1426</v>
      </c>
      <c r="C128" s="192" t="s">
        <v>1425</v>
      </c>
      <c r="D128" s="192"/>
      <c r="E128" s="192"/>
      <c r="F128" s="193"/>
      <c r="G128" s="193"/>
      <c r="H128" s="192" t="s">
        <v>1427</v>
      </c>
      <c r="I128" s="192" t="s">
        <v>601</v>
      </c>
      <c r="J128" s="192" t="s">
        <v>602</v>
      </c>
      <c r="K128" s="192" t="s">
        <v>603</v>
      </c>
      <c r="L128" s="192" t="s">
        <v>604</v>
      </c>
      <c r="M128" s="192" t="s">
        <v>605</v>
      </c>
      <c r="N128" s="192"/>
      <c r="O128" s="192"/>
      <c r="P128" s="192"/>
      <c r="Q128" s="192"/>
      <c r="R128" s="192" t="s">
        <v>1003</v>
      </c>
    </row>
    <row r="129" spans="1:18" ht="13.15" customHeight="1" x14ac:dyDescent="0.25">
      <c r="A129" s="192" t="s">
        <v>1355</v>
      </c>
      <c r="B129" s="192" t="s">
        <v>1423</v>
      </c>
      <c r="C129" s="192" t="s">
        <v>1422</v>
      </c>
      <c r="D129" s="192"/>
      <c r="E129" s="192"/>
      <c r="F129" s="193"/>
      <c r="G129" s="193"/>
      <c r="H129" s="192" t="s">
        <v>1424</v>
      </c>
      <c r="I129" s="192" t="s">
        <v>601</v>
      </c>
      <c r="J129" s="192" t="s">
        <v>602</v>
      </c>
      <c r="K129" s="192" t="s">
        <v>603</v>
      </c>
      <c r="L129" s="192" t="s">
        <v>604</v>
      </c>
      <c r="M129" s="192" t="s">
        <v>605</v>
      </c>
      <c r="N129" s="192"/>
      <c r="O129" s="192"/>
      <c r="P129" s="192"/>
      <c r="Q129" s="192"/>
      <c r="R129" s="192" t="s">
        <v>1003</v>
      </c>
    </row>
    <row r="130" spans="1:18" ht="13.15" customHeight="1" x14ac:dyDescent="0.25">
      <c r="A130" s="192" t="s">
        <v>1355</v>
      </c>
      <c r="B130" s="192" t="s">
        <v>1420</v>
      </c>
      <c r="C130" s="192" t="s">
        <v>1419</v>
      </c>
      <c r="D130" s="192"/>
      <c r="E130" s="192"/>
      <c r="F130" s="193"/>
      <c r="G130" s="193"/>
      <c r="H130" s="192" t="s">
        <v>1421</v>
      </c>
      <c r="I130" s="192" t="s">
        <v>601</v>
      </c>
      <c r="J130" s="192" t="s">
        <v>602</v>
      </c>
      <c r="K130" s="192" t="s">
        <v>603</v>
      </c>
      <c r="L130" s="192" t="s">
        <v>604</v>
      </c>
      <c r="M130" s="192" t="s">
        <v>605</v>
      </c>
      <c r="N130" s="192"/>
      <c r="O130" s="192"/>
      <c r="P130" s="192"/>
      <c r="Q130" s="192"/>
      <c r="R130" s="192" t="s">
        <v>1003</v>
      </c>
    </row>
    <row r="131" spans="1:18" ht="13.15" customHeight="1" x14ac:dyDescent="0.25">
      <c r="A131" s="192" t="s">
        <v>1536</v>
      </c>
      <c r="B131" s="192" t="s">
        <v>275</v>
      </c>
      <c r="C131" s="192" t="s">
        <v>1810</v>
      </c>
      <c r="D131" s="192">
        <v>195.69</v>
      </c>
      <c r="E131" s="192">
        <v>278.89999999999998</v>
      </c>
      <c r="F131" s="193"/>
      <c r="G131" s="193"/>
      <c r="H131" s="192" t="s">
        <v>1811</v>
      </c>
      <c r="I131" s="192" t="s">
        <v>601</v>
      </c>
      <c r="J131" s="192" t="s">
        <v>602</v>
      </c>
      <c r="K131" s="192" t="s">
        <v>603</v>
      </c>
      <c r="L131" s="192" t="s">
        <v>604</v>
      </c>
      <c r="M131" s="192" t="s">
        <v>605</v>
      </c>
      <c r="N131" s="192"/>
      <c r="O131" s="192"/>
      <c r="P131" s="192" t="s">
        <v>704</v>
      </c>
      <c r="Q131" s="192" t="s">
        <v>1013</v>
      </c>
      <c r="R131" s="192" t="s">
        <v>1003</v>
      </c>
    </row>
    <row r="132" spans="1:18" ht="13.15" customHeight="1" x14ac:dyDescent="0.25">
      <c r="A132" s="192" t="s">
        <v>1536</v>
      </c>
      <c r="B132" s="192" t="s">
        <v>1808</v>
      </c>
      <c r="C132" s="192" t="s">
        <v>1807</v>
      </c>
      <c r="D132" s="192"/>
      <c r="E132" s="192"/>
      <c r="F132" s="193"/>
      <c r="G132" s="193"/>
      <c r="H132" s="192" t="s">
        <v>1809</v>
      </c>
      <c r="I132" s="192" t="s">
        <v>601</v>
      </c>
      <c r="J132" s="192" t="s">
        <v>602</v>
      </c>
      <c r="K132" s="192" t="s">
        <v>603</v>
      </c>
      <c r="L132" s="192" t="s">
        <v>1431</v>
      </c>
      <c r="M132" s="192" t="s">
        <v>605</v>
      </c>
      <c r="N132" s="192" t="s">
        <v>728</v>
      </c>
      <c r="O132" s="192"/>
      <c r="P132" s="192"/>
      <c r="Q132" s="192"/>
      <c r="R132" s="192" t="s">
        <v>1783</v>
      </c>
    </row>
    <row r="133" spans="1:18" ht="13.15" customHeight="1" x14ac:dyDescent="0.25">
      <c r="A133" s="192" t="s">
        <v>1536</v>
      </c>
      <c r="B133" s="192" t="s">
        <v>1805</v>
      </c>
      <c r="C133" s="192" t="s">
        <v>1804</v>
      </c>
      <c r="D133" s="192"/>
      <c r="E133" s="192"/>
      <c r="F133" s="193"/>
      <c r="G133" s="193"/>
      <c r="H133" s="192" t="s">
        <v>1806</v>
      </c>
      <c r="I133" s="192" t="s">
        <v>601</v>
      </c>
      <c r="J133" s="192" t="s">
        <v>602</v>
      </c>
      <c r="K133" s="192" t="s">
        <v>603</v>
      </c>
      <c r="L133" s="192" t="s">
        <v>695</v>
      </c>
      <c r="M133" s="192" t="s">
        <v>605</v>
      </c>
      <c r="N133" s="192" t="s">
        <v>728</v>
      </c>
      <c r="O133" s="192" t="s">
        <v>728</v>
      </c>
      <c r="P133" s="192"/>
      <c r="Q133" s="192"/>
      <c r="R133" s="192" t="s">
        <v>1783</v>
      </c>
    </row>
    <row r="134" spans="1:18" ht="13.15" customHeight="1" x14ac:dyDescent="0.25">
      <c r="A134" s="192" t="s">
        <v>1536</v>
      </c>
      <c r="B134" s="192" t="s">
        <v>1802</v>
      </c>
      <c r="C134" s="192" t="s">
        <v>1801</v>
      </c>
      <c r="D134" s="192"/>
      <c r="E134" s="192"/>
      <c r="F134" s="193"/>
      <c r="G134" s="193"/>
      <c r="H134" s="192" t="s">
        <v>1803</v>
      </c>
      <c r="I134" s="192" t="s">
        <v>601</v>
      </c>
      <c r="J134" s="192" t="s">
        <v>602</v>
      </c>
      <c r="K134" s="192" t="s">
        <v>603</v>
      </c>
      <c r="L134" s="192" t="s">
        <v>708</v>
      </c>
      <c r="M134" s="192" t="s">
        <v>605</v>
      </c>
      <c r="N134" s="192" t="s">
        <v>728</v>
      </c>
      <c r="O134" s="192"/>
      <c r="P134" s="192"/>
      <c r="Q134" s="192"/>
      <c r="R134" s="192" t="s">
        <v>1003</v>
      </c>
    </row>
    <row r="135" spans="1:18" ht="13.15" customHeight="1" x14ac:dyDescent="0.25">
      <c r="A135" s="192" t="s">
        <v>1536</v>
      </c>
      <c r="B135" s="192" t="s">
        <v>89</v>
      </c>
      <c r="C135" s="192" t="s">
        <v>1799</v>
      </c>
      <c r="D135" s="192">
        <v>30.83</v>
      </c>
      <c r="E135" s="192">
        <v>43.94</v>
      </c>
      <c r="F135" s="193"/>
      <c r="G135" s="193"/>
      <c r="H135" s="192" t="s">
        <v>1800</v>
      </c>
      <c r="I135" s="192" t="s">
        <v>601</v>
      </c>
      <c r="J135" s="192" t="s">
        <v>602</v>
      </c>
      <c r="K135" s="192" t="s">
        <v>603</v>
      </c>
      <c r="L135" s="192" t="s">
        <v>604</v>
      </c>
      <c r="M135" s="192" t="s">
        <v>605</v>
      </c>
      <c r="N135" s="192" t="s">
        <v>728</v>
      </c>
      <c r="O135" s="192"/>
      <c r="P135" s="192" t="s">
        <v>704</v>
      </c>
      <c r="Q135" s="192" t="s">
        <v>729</v>
      </c>
      <c r="R135" s="192" t="s">
        <v>1783</v>
      </c>
    </row>
    <row r="136" spans="1:18" ht="13.15" customHeight="1" x14ac:dyDescent="0.25">
      <c r="A136" s="192" t="s">
        <v>1536</v>
      </c>
      <c r="B136" s="192" t="s">
        <v>1797</v>
      </c>
      <c r="C136" s="192" t="s">
        <v>1796</v>
      </c>
      <c r="D136" s="192"/>
      <c r="E136" s="192"/>
      <c r="F136" s="193"/>
      <c r="G136" s="193"/>
      <c r="H136" s="192" t="s">
        <v>1798</v>
      </c>
      <c r="I136" s="192" t="s">
        <v>601</v>
      </c>
      <c r="J136" s="192" t="s">
        <v>602</v>
      </c>
      <c r="K136" s="192" t="s">
        <v>668</v>
      </c>
      <c r="L136" s="192" t="s">
        <v>708</v>
      </c>
      <c r="M136" s="192" t="s">
        <v>605</v>
      </c>
      <c r="N136" s="192" t="s">
        <v>728</v>
      </c>
      <c r="O136" s="192"/>
      <c r="P136" s="192"/>
      <c r="Q136" s="192"/>
      <c r="R136" s="192" t="s">
        <v>1783</v>
      </c>
    </row>
    <row r="137" spans="1:18" ht="13.15" customHeight="1" x14ac:dyDescent="0.25">
      <c r="A137" s="192" t="s">
        <v>1536</v>
      </c>
      <c r="B137" s="194"/>
      <c r="C137" s="192" t="s">
        <v>1794</v>
      </c>
      <c r="D137" s="192"/>
      <c r="E137" s="192"/>
      <c r="F137" s="193"/>
      <c r="G137" s="193"/>
      <c r="H137" s="192" t="s">
        <v>1795</v>
      </c>
      <c r="I137" s="192" t="s">
        <v>601</v>
      </c>
      <c r="J137" s="192" t="s">
        <v>602</v>
      </c>
      <c r="K137" s="192" t="s">
        <v>1002</v>
      </c>
      <c r="L137" s="192" t="s">
        <v>604</v>
      </c>
      <c r="M137" s="192" t="s">
        <v>605</v>
      </c>
      <c r="N137" s="192" t="s">
        <v>1555</v>
      </c>
      <c r="O137" s="192"/>
      <c r="P137" s="192"/>
      <c r="Q137" s="192"/>
      <c r="R137" s="192" t="s">
        <v>1003</v>
      </c>
    </row>
    <row r="138" spans="1:18" ht="13.15" customHeight="1" x14ac:dyDescent="0.25">
      <c r="A138" s="192" t="s">
        <v>1536</v>
      </c>
      <c r="B138" s="192" t="s">
        <v>1792</v>
      </c>
      <c r="C138" s="192" t="s">
        <v>1791</v>
      </c>
      <c r="D138" s="192"/>
      <c r="E138" s="192"/>
      <c r="F138" s="193"/>
      <c r="G138" s="193"/>
      <c r="H138" s="192" t="s">
        <v>1793</v>
      </c>
      <c r="I138" s="192" t="s">
        <v>601</v>
      </c>
      <c r="J138" s="192" t="s">
        <v>602</v>
      </c>
      <c r="K138" s="192" t="s">
        <v>603</v>
      </c>
      <c r="L138" s="192" t="s">
        <v>708</v>
      </c>
      <c r="M138" s="192" t="s">
        <v>605</v>
      </c>
      <c r="N138" s="192" t="s">
        <v>728</v>
      </c>
      <c r="O138" s="192" t="s">
        <v>728</v>
      </c>
      <c r="P138" s="192"/>
      <c r="Q138" s="192"/>
      <c r="R138" s="192" t="s">
        <v>1003</v>
      </c>
    </row>
    <row r="139" spans="1:18" ht="13.15" customHeight="1" x14ac:dyDescent="0.25">
      <c r="A139" s="192" t="s">
        <v>1536</v>
      </c>
      <c r="B139" s="194"/>
      <c r="C139" s="192" t="s">
        <v>1789</v>
      </c>
      <c r="D139" s="192"/>
      <c r="E139" s="192"/>
      <c r="F139" s="193"/>
      <c r="G139" s="193"/>
      <c r="H139" s="192" t="s">
        <v>1790</v>
      </c>
      <c r="I139" s="192" t="s">
        <v>601</v>
      </c>
      <c r="J139" s="192" t="s">
        <v>602</v>
      </c>
      <c r="K139" s="192" t="s">
        <v>1002</v>
      </c>
      <c r="L139" s="192" t="s">
        <v>604</v>
      </c>
      <c r="M139" s="192" t="s">
        <v>605</v>
      </c>
      <c r="N139" s="192" t="s">
        <v>1555</v>
      </c>
      <c r="O139" s="192"/>
      <c r="P139" s="192"/>
      <c r="Q139" s="192"/>
      <c r="R139" s="192" t="s">
        <v>1783</v>
      </c>
    </row>
    <row r="140" spans="1:18" ht="13.15" customHeight="1" x14ac:dyDescent="0.25">
      <c r="A140" s="192" t="s">
        <v>1536</v>
      </c>
      <c r="B140" s="194"/>
      <c r="C140" s="192" t="s">
        <v>1787</v>
      </c>
      <c r="D140" s="192"/>
      <c r="E140" s="192"/>
      <c r="F140" s="193"/>
      <c r="G140" s="193"/>
      <c r="H140" s="192" t="s">
        <v>1788</v>
      </c>
      <c r="I140" s="192" t="s">
        <v>601</v>
      </c>
      <c r="J140" s="192" t="s">
        <v>602</v>
      </c>
      <c r="K140" s="192" t="s">
        <v>1002</v>
      </c>
      <c r="L140" s="192" t="s">
        <v>604</v>
      </c>
      <c r="M140" s="192" t="s">
        <v>605</v>
      </c>
      <c r="N140" s="192" t="s">
        <v>1555</v>
      </c>
      <c r="O140" s="192"/>
      <c r="P140" s="192"/>
      <c r="Q140" s="192"/>
      <c r="R140" s="192" t="s">
        <v>1003</v>
      </c>
    </row>
    <row r="141" spans="1:18" ht="13.15" customHeight="1" x14ac:dyDescent="0.25">
      <c r="A141" s="192" t="s">
        <v>1536</v>
      </c>
      <c r="B141" s="192" t="s">
        <v>1785</v>
      </c>
      <c r="C141" s="192" t="s">
        <v>1784</v>
      </c>
      <c r="D141" s="192"/>
      <c r="E141" s="192"/>
      <c r="F141" s="193"/>
      <c r="G141" s="193"/>
      <c r="H141" s="192" t="s">
        <v>1786</v>
      </c>
      <c r="I141" s="192" t="s">
        <v>601</v>
      </c>
      <c r="J141" s="192" t="s">
        <v>602</v>
      </c>
      <c r="K141" s="192" t="s">
        <v>603</v>
      </c>
      <c r="L141" s="192" t="s">
        <v>604</v>
      </c>
      <c r="M141" s="192" t="s">
        <v>605</v>
      </c>
      <c r="N141" s="192" t="s">
        <v>1555</v>
      </c>
      <c r="O141" s="192"/>
      <c r="P141" s="192"/>
      <c r="Q141" s="192"/>
      <c r="R141" s="192" t="s">
        <v>1783</v>
      </c>
    </row>
    <row r="142" spans="1:18" ht="13.15" customHeight="1" x14ac:dyDescent="0.25">
      <c r="A142" s="192" t="s">
        <v>1536</v>
      </c>
      <c r="B142" s="192" t="s">
        <v>1781</v>
      </c>
      <c r="C142" s="192" t="s">
        <v>1780</v>
      </c>
      <c r="D142" s="192"/>
      <c r="E142" s="192"/>
      <c r="F142" s="193"/>
      <c r="G142" s="193"/>
      <c r="H142" s="192" t="s">
        <v>1782</v>
      </c>
      <c r="I142" s="192" t="s">
        <v>601</v>
      </c>
      <c r="J142" s="192" t="s">
        <v>602</v>
      </c>
      <c r="K142" s="192" t="s">
        <v>603</v>
      </c>
      <c r="L142" s="192" t="s">
        <v>708</v>
      </c>
      <c r="M142" s="192" t="s">
        <v>605</v>
      </c>
      <c r="N142" s="192" t="s">
        <v>1555</v>
      </c>
      <c r="O142" s="192"/>
      <c r="P142" s="192"/>
      <c r="Q142" s="192"/>
      <c r="R142" s="192" t="s">
        <v>1783</v>
      </c>
    </row>
    <row r="143" spans="1:18" ht="13.15" customHeight="1" x14ac:dyDescent="0.25">
      <c r="A143" s="192" t="s">
        <v>1355</v>
      </c>
      <c r="B143" s="192" t="s">
        <v>97</v>
      </c>
      <c r="C143" s="192" t="s">
        <v>1417</v>
      </c>
      <c r="D143" s="192">
        <v>9.93</v>
      </c>
      <c r="E143" s="192">
        <v>14.15</v>
      </c>
      <c r="F143" s="193"/>
      <c r="G143" s="193"/>
      <c r="H143" s="192" t="s">
        <v>1418</v>
      </c>
      <c r="I143" s="192" t="s">
        <v>601</v>
      </c>
      <c r="J143" s="192" t="s">
        <v>602</v>
      </c>
      <c r="K143" s="192" t="s">
        <v>1002</v>
      </c>
      <c r="L143" s="192" t="s">
        <v>708</v>
      </c>
      <c r="M143" s="192" t="s">
        <v>605</v>
      </c>
      <c r="N143" s="192"/>
      <c r="O143" s="192"/>
      <c r="P143" s="192" t="s">
        <v>704</v>
      </c>
      <c r="Q143" s="192" t="s">
        <v>729</v>
      </c>
      <c r="R143" s="192" t="s">
        <v>1003</v>
      </c>
    </row>
    <row r="144" spans="1:18" ht="13.15" customHeight="1" x14ac:dyDescent="0.25">
      <c r="A144" s="192" t="s">
        <v>1355</v>
      </c>
      <c r="B144" s="192" t="s">
        <v>1369</v>
      </c>
      <c r="C144" s="192" t="s">
        <v>1368</v>
      </c>
      <c r="D144" s="192"/>
      <c r="E144" s="192"/>
      <c r="F144" s="193"/>
      <c r="G144" s="193"/>
      <c r="H144" s="192" t="s">
        <v>1370</v>
      </c>
      <c r="I144" s="195" t="s">
        <v>622</v>
      </c>
      <c r="J144" s="192" t="s">
        <v>602</v>
      </c>
      <c r="K144" s="192" t="s">
        <v>1002</v>
      </c>
      <c r="L144" s="192" t="s">
        <v>604</v>
      </c>
      <c r="M144" s="192" t="s">
        <v>605</v>
      </c>
      <c r="N144" s="192"/>
      <c r="O144" s="192"/>
      <c r="P144" s="192"/>
      <c r="Q144" s="192"/>
      <c r="R144" s="192" t="s">
        <v>1003</v>
      </c>
    </row>
    <row r="145" spans="1:18" ht="13.15" customHeight="1" x14ac:dyDescent="0.25">
      <c r="A145" s="192" t="s">
        <v>1355</v>
      </c>
      <c r="B145" s="192" t="s">
        <v>1415</v>
      </c>
      <c r="C145" s="192" t="s">
        <v>1414</v>
      </c>
      <c r="D145" s="192"/>
      <c r="E145" s="192"/>
      <c r="F145" s="193"/>
      <c r="G145" s="193"/>
      <c r="H145" s="192" t="s">
        <v>1416</v>
      </c>
      <c r="I145" s="192" t="s">
        <v>601</v>
      </c>
      <c r="J145" s="192" t="s">
        <v>602</v>
      </c>
      <c r="K145" s="192" t="s">
        <v>1002</v>
      </c>
      <c r="L145" s="192" t="s">
        <v>604</v>
      </c>
      <c r="M145" s="192" t="s">
        <v>605</v>
      </c>
      <c r="N145" s="192"/>
      <c r="O145" s="192"/>
      <c r="P145" s="192"/>
      <c r="Q145" s="192"/>
      <c r="R145" s="192" t="s">
        <v>1003</v>
      </c>
    </row>
    <row r="146" spans="1:18" ht="13.15" customHeight="1" x14ac:dyDescent="0.25">
      <c r="A146" s="192" t="s">
        <v>1355</v>
      </c>
      <c r="B146" s="192" t="s">
        <v>1412</v>
      </c>
      <c r="C146" s="192" t="s">
        <v>1411</v>
      </c>
      <c r="D146" s="192"/>
      <c r="E146" s="192"/>
      <c r="F146" s="193"/>
      <c r="G146" s="193"/>
      <c r="H146" s="192" t="s">
        <v>1413</v>
      </c>
      <c r="I146" s="192" t="s">
        <v>601</v>
      </c>
      <c r="J146" s="192" t="s">
        <v>602</v>
      </c>
      <c r="K146" s="192" t="s">
        <v>1002</v>
      </c>
      <c r="L146" s="192" t="s">
        <v>604</v>
      </c>
      <c r="M146" s="192" t="s">
        <v>605</v>
      </c>
      <c r="N146" s="192"/>
      <c r="O146" s="192"/>
      <c r="P146" s="192"/>
      <c r="Q146" s="192"/>
      <c r="R146" s="192" t="s">
        <v>1003</v>
      </c>
    </row>
    <row r="147" spans="1:18" ht="13.15" customHeight="1" x14ac:dyDescent="0.25">
      <c r="A147" s="192" t="s">
        <v>1355</v>
      </c>
      <c r="B147" s="192" t="s">
        <v>1409</v>
      </c>
      <c r="C147" s="192" t="s">
        <v>1408</v>
      </c>
      <c r="D147" s="192"/>
      <c r="E147" s="192"/>
      <c r="F147" s="193"/>
      <c r="G147" s="193"/>
      <c r="H147" s="192" t="s">
        <v>1410</v>
      </c>
      <c r="I147" s="192" t="s">
        <v>601</v>
      </c>
      <c r="J147" s="192" t="s">
        <v>602</v>
      </c>
      <c r="K147" s="192" t="s">
        <v>1002</v>
      </c>
      <c r="L147" s="192" t="s">
        <v>604</v>
      </c>
      <c r="M147" s="192" t="s">
        <v>605</v>
      </c>
      <c r="N147" s="192"/>
      <c r="O147" s="192"/>
      <c r="P147" s="192"/>
      <c r="Q147" s="192"/>
      <c r="R147" s="192" t="s">
        <v>1003</v>
      </c>
    </row>
    <row r="148" spans="1:18" ht="13.15" customHeight="1" x14ac:dyDescent="0.25">
      <c r="A148" s="192" t="s">
        <v>1355</v>
      </c>
      <c r="B148" s="192" t="s">
        <v>1406</v>
      </c>
      <c r="C148" s="192" t="s">
        <v>1405</v>
      </c>
      <c r="D148" s="192"/>
      <c r="E148" s="192"/>
      <c r="F148" s="193"/>
      <c r="G148" s="193"/>
      <c r="H148" s="192" t="s">
        <v>1407</v>
      </c>
      <c r="I148" s="192" t="s">
        <v>601</v>
      </c>
      <c r="J148" s="192" t="s">
        <v>602</v>
      </c>
      <c r="K148" s="192" t="s">
        <v>1002</v>
      </c>
      <c r="L148" s="192" t="s">
        <v>604</v>
      </c>
      <c r="M148" s="192" t="s">
        <v>605</v>
      </c>
      <c r="N148" s="192"/>
      <c r="O148" s="192"/>
      <c r="P148" s="192"/>
      <c r="Q148" s="192"/>
      <c r="R148" s="192" t="s">
        <v>1003</v>
      </c>
    </row>
    <row r="149" spans="1:18" ht="13.15" customHeight="1" x14ac:dyDescent="0.25">
      <c r="A149" s="192" t="s">
        <v>1355</v>
      </c>
      <c r="B149" s="192" t="s">
        <v>1403</v>
      </c>
      <c r="C149" s="192" t="s">
        <v>1402</v>
      </c>
      <c r="D149" s="192"/>
      <c r="E149" s="192"/>
      <c r="F149" s="193"/>
      <c r="G149" s="193"/>
      <c r="H149" s="192" t="s">
        <v>1404</v>
      </c>
      <c r="I149" s="192" t="s">
        <v>601</v>
      </c>
      <c r="J149" s="192" t="s">
        <v>602</v>
      </c>
      <c r="K149" s="192" t="s">
        <v>603</v>
      </c>
      <c r="L149" s="192" t="s">
        <v>604</v>
      </c>
      <c r="M149" s="192" t="s">
        <v>605</v>
      </c>
      <c r="N149" s="192"/>
      <c r="O149" s="192"/>
      <c r="P149" s="192"/>
      <c r="Q149" s="192"/>
      <c r="R149" s="192" t="s">
        <v>1003</v>
      </c>
    </row>
    <row r="150" spans="1:18" ht="13.15" customHeight="1" x14ac:dyDescent="0.25">
      <c r="A150" s="192" t="s">
        <v>1355</v>
      </c>
      <c r="B150" s="194"/>
      <c r="C150" s="192" t="s">
        <v>1400</v>
      </c>
      <c r="D150" s="192"/>
      <c r="E150" s="192"/>
      <c r="F150" s="193"/>
      <c r="G150" s="193"/>
      <c r="H150" s="192" t="s">
        <v>1401</v>
      </c>
      <c r="I150" s="195" t="s">
        <v>622</v>
      </c>
      <c r="J150" s="192" t="s">
        <v>602</v>
      </c>
      <c r="K150" s="192" t="s">
        <v>1002</v>
      </c>
      <c r="L150" s="192" t="s">
        <v>604</v>
      </c>
      <c r="M150" s="192" t="s">
        <v>605</v>
      </c>
      <c r="N150" s="192"/>
      <c r="O150" s="192"/>
      <c r="P150" s="192"/>
      <c r="Q150" s="192"/>
      <c r="R150" s="192" t="s">
        <v>1003</v>
      </c>
    </row>
    <row r="151" spans="1:18" ht="13.15" customHeight="1" x14ac:dyDescent="0.25">
      <c r="A151" s="192" t="s">
        <v>1355</v>
      </c>
      <c r="B151" s="192" t="s">
        <v>1398</v>
      </c>
      <c r="C151" s="192" t="s">
        <v>1397</v>
      </c>
      <c r="D151" s="192"/>
      <c r="E151" s="192"/>
      <c r="F151" s="193"/>
      <c r="G151" s="193"/>
      <c r="H151" s="192" t="s">
        <v>1399</v>
      </c>
      <c r="I151" s="192" t="s">
        <v>601</v>
      </c>
      <c r="J151" s="192" t="s">
        <v>602</v>
      </c>
      <c r="K151" s="192" t="s">
        <v>603</v>
      </c>
      <c r="L151" s="192" t="s">
        <v>604</v>
      </c>
      <c r="M151" s="192" t="s">
        <v>605</v>
      </c>
      <c r="N151" s="192"/>
      <c r="O151" s="192"/>
      <c r="P151" s="192"/>
      <c r="Q151" s="192"/>
      <c r="R151" s="192" t="s">
        <v>1003</v>
      </c>
    </row>
    <row r="152" spans="1:18" ht="13.15" customHeight="1" x14ac:dyDescent="0.25">
      <c r="A152" s="192" t="s">
        <v>1355</v>
      </c>
      <c r="B152" s="192" t="s">
        <v>1395</v>
      </c>
      <c r="C152" s="192" t="s">
        <v>1394</v>
      </c>
      <c r="D152" s="192"/>
      <c r="E152" s="192"/>
      <c r="F152" s="193"/>
      <c r="G152" s="193"/>
      <c r="H152" s="192" t="s">
        <v>1396</v>
      </c>
      <c r="I152" s="192" t="s">
        <v>601</v>
      </c>
      <c r="J152" s="192" t="s">
        <v>602</v>
      </c>
      <c r="K152" s="192" t="s">
        <v>1002</v>
      </c>
      <c r="L152" s="192" t="s">
        <v>604</v>
      </c>
      <c r="M152" s="192" t="s">
        <v>605</v>
      </c>
      <c r="N152" s="192"/>
      <c r="O152" s="192"/>
      <c r="P152" s="192"/>
      <c r="Q152" s="192"/>
      <c r="R152" s="192" t="s">
        <v>1003</v>
      </c>
    </row>
    <row r="153" spans="1:18" ht="13.15" customHeight="1" x14ac:dyDescent="0.25">
      <c r="A153" s="192" t="s">
        <v>1355</v>
      </c>
      <c r="B153" s="192" t="s">
        <v>1392</v>
      </c>
      <c r="C153" s="192" t="s">
        <v>1391</v>
      </c>
      <c r="D153" s="192"/>
      <c r="E153" s="192"/>
      <c r="F153" s="193"/>
      <c r="G153" s="193"/>
      <c r="H153" s="192" t="s">
        <v>1393</v>
      </c>
      <c r="I153" s="192" t="s">
        <v>601</v>
      </c>
      <c r="J153" s="192" t="s">
        <v>602</v>
      </c>
      <c r="K153" s="192" t="s">
        <v>1002</v>
      </c>
      <c r="L153" s="192" t="s">
        <v>604</v>
      </c>
      <c r="M153" s="192" t="s">
        <v>605</v>
      </c>
      <c r="N153" s="192"/>
      <c r="O153" s="192"/>
      <c r="P153" s="192"/>
      <c r="Q153" s="192"/>
      <c r="R153" s="192" t="s">
        <v>1003</v>
      </c>
    </row>
    <row r="154" spans="1:18" ht="13.15" customHeight="1" x14ac:dyDescent="0.25">
      <c r="A154" s="192" t="s">
        <v>1355</v>
      </c>
      <c r="B154" s="194"/>
      <c r="C154" s="192" t="s">
        <v>1389</v>
      </c>
      <c r="D154" s="192">
        <v>114331.07</v>
      </c>
      <c r="E154" s="192">
        <v>162944.64000000001</v>
      </c>
      <c r="F154" s="193"/>
      <c r="G154" s="193"/>
      <c r="H154" s="192" t="s">
        <v>1390</v>
      </c>
      <c r="I154" s="195" t="s">
        <v>622</v>
      </c>
      <c r="J154" s="192" t="s">
        <v>602</v>
      </c>
      <c r="K154" s="192" t="s">
        <v>1002</v>
      </c>
      <c r="L154" s="192" t="s">
        <v>604</v>
      </c>
      <c r="M154" s="192" t="s">
        <v>605</v>
      </c>
      <c r="N154" s="192"/>
      <c r="O154" s="192"/>
      <c r="P154" s="192"/>
      <c r="Q154" s="192"/>
      <c r="R154" s="192" t="s">
        <v>1003</v>
      </c>
    </row>
    <row r="155" spans="1:18" ht="13.15" customHeight="1" x14ac:dyDescent="0.25">
      <c r="A155" s="192" t="s">
        <v>1355</v>
      </c>
      <c r="B155" s="194"/>
      <c r="C155" s="192" t="s">
        <v>1387</v>
      </c>
      <c r="D155" s="192">
        <v>4961.1400000000003</v>
      </c>
      <c r="E155" s="192">
        <v>7070.62</v>
      </c>
      <c r="F155" s="193"/>
      <c r="G155" s="193"/>
      <c r="H155" s="192" t="s">
        <v>1388</v>
      </c>
      <c r="I155" s="192" t="s">
        <v>601</v>
      </c>
      <c r="J155" s="192" t="s">
        <v>602</v>
      </c>
      <c r="K155" s="192" t="s">
        <v>603</v>
      </c>
      <c r="L155" s="192" t="s">
        <v>604</v>
      </c>
      <c r="M155" s="192" t="s">
        <v>605</v>
      </c>
      <c r="N155" s="192"/>
      <c r="O155" s="192"/>
      <c r="P155" s="192" t="s">
        <v>704</v>
      </c>
      <c r="Q155" s="192" t="s">
        <v>1088</v>
      </c>
      <c r="R155" s="192" t="s">
        <v>1003</v>
      </c>
    </row>
    <row r="156" spans="1:18" ht="13.15" customHeight="1" x14ac:dyDescent="0.25">
      <c r="A156" s="192" t="s">
        <v>1355</v>
      </c>
      <c r="B156" s="194"/>
      <c r="C156" s="192" t="s">
        <v>1385</v>
      </c>
      <c r="D156" s="192">
        <v>2950.78</v>
      </c>
      <c r="E156" s="192">
        <v>4205.45</v>
      </c>
      <c r="F156" s="193"/>
      <c r="G156" s="193"/>
      <c r="H156" s="192" t="s">
        <v>1386</v>
      </c>
      <c r="I156" s="192" t="s">
        <v>601</v>
      </c>
      <c r="J156" s="192" t="s">
        <v>602</v>
      </c>
      <c r="K156" s="192" t="s">
        <v>603</v>
      </c>
      <c r="L156" s="192" t="s">
        <v>604</v>
      </c>
      <c r="M156" s="192" t="s">
        <v>605</v>
      </c>
      <c r="N156" s="192"/>
      <c r="O156" s="192"/>
      <c r="P156" s="192"/>
      <c r="Q156" s="192" t="s">
        <v>1382</v>
      </c>
      <c r="R156" s="192" t="s">
        <v>1003</v>
      </c>
    </row>
    <row r="157" spans="1:18" ht="13.15" customHeight="1" x14ac:dyDescent="0.25">
      <c r="A157" s="192" t="s">
        <v>1355</v>
      </c>
      <c r="B157" s="194"/>
      <c r="C157" s="192" t="s">
        <v>1383</v>
      </c>
      <c r="D157" s="192">
        <v>2316.31</v>
      </c>
      <c r="E157" s="192">
        <v>3301.21</v>
      </c>
      <c r="F157" s="193"/>
      <c r="G157" s="193"/>
      <c r="H157" s="192" t="s">
        <v>1384</v>
      </c>
      <c r="I157" s="192" t="s">
        <v>601</v>
      </c>
      <c r="J157" s="192" t="s">
        <v>602</v>
      </c>
      <c r="K157" s="192" t="s">
        <v>603</v>
      </c>
      <c r="L157" s="192" t="s">
        <v>604</v>
      </c>
      <c r="M157" s="192" t="s">
        <v>605</v>
      </c>
      <c r="N157" s="192"/>
      <c r="O157" s="192"/>
      <c r="P157" s="192"/>
      <c r="Q157" s="192"/>
      <c r="R157" s="192" t="s">
        <v>1003</v>
      </c>
    </row>
    <row r="158" spans="1:18" ht="13.15" customHeight="1" x14ac:dyDescent="0.25">
      <c r="A158" s="192" t="s">
        <v>1355</v>
      </c>
      <c r="B158" s="194"/>
      <c r="C158" s="192" t="s">
        <v>1380</v>
      </c>
      <c r="D158" s="192">
        <v>2183.4499999999998</v>
      </c>
      <c r="E158" s="192">
        <v>3111.85</v>
      </c>
      <c r="F158" s="193"/>
      <c r="G158" s="193"/>
      <c r="H158" s="192" t="s">
        <v>1381</v>
      </c>
      <c r="I158" s="192" t="s">
        <v>601</v>
      </c>
      <c r="J158" s="192" t="s">
        <v>602</v>
      </c>
      <c r="K158" s="192" t="s">
        <v>603</v>
      </c>
      <c r="L158" s="192" t="s">
        <v>604</v>
      </c>
      <c r="M158" s="192" t="s">
        <v>605</v>
      </c>
      <c r="N158" s="192"/>
      <c r="O158" s="192"/>
      <c r="P158" s="192"/>
      <c r="Q158" s="192" t="s">
        <v>1382</v>
      </c>
      <c r="R158" s="192" t="s">
        <v>1003</v>
      </c>
    </row>
    <row r="159" spans="1:18" ht="13.15" customHeight="1" x14ac:dyDescent="0.25">
      <c r="A159" s="192" t="s">
        <v>1536</v>
      </c>
      <c r="B159" s="194"/>
      <c r="C159" s="192" t="s">
        <v>1775</v>
      </c>
      <c r="D159" s="192"/>
      <c r="E159" s="192"/>
      <c r="F159" s="193"/>
      <c r="G159" s="193"/>
      <c r="H159" s="192" t="s">
        <v>1776</v>
      </c>
      <c r="I159" s="192" t="s">
        <v>601</v>
      </c>
      <c r="J159" s="192" t="s">
        <v>602</v>
      </c>
      <c r="K159" s="192" t="s">
        <v>603</v>
      </c>
      <c r="L159" s="192" t="s">
        <v>604</v>
      </c>
      <c r="M159" s="192" t="s">
        <v>605</v>
      </c>
      <c r="N159" s="192"/>
      <c r="O159" s="192"/>
      <c r="P159" s="192"/>
      <c r="Q159" s="192"/>
      <c r="R159" s="192" t="s">
        <v>1003</v>
      </c>
    </row>
    <row r="160" spans="1:18" ht="13.15" customHeight="1" x14ac:dyDescent="0.25">
      <c r="A160" s="192" t="s">
        <v>1355</v>
      </c>
      <c r="B160" s="192" t="s">
        <v>1378</v>
      </c>
      <c r="C160" s="192" t="s">
        <v>1377</v>
      </c>
      <c r="D160" s="192"/>
      <c r="E160" s="192"/>
      <c r="F160" s="193"/>
      <c r="G160" s="193"/>
      <c r="H160" s="192" t="s">
        <v>1379</v>
      </c>
      <c r="I160" s="192" t="s">
        <v>601</v>
      </c>
      <c r="J160" s="192" t="s">
        <v>602</v>
      </c>
      <c r="K160" s="192" t="s">
        <v>1002</v>
      </c>
      <c r="L160" s="192" t="s">
        <v>604</v>
      </c>
      <c r="M160" s="192" t="s">
        <v>605</v>
      </c>
      <c r="N160" s="192"/>
      <c r="O160" s="192"/>
      <c r="P160" s="192"/>
      <c r="Q160" s="192"/>
      <c r="R160" s="192" t="s">
        <v>1003</v>
      </c>
    </row>
    <row r="161" spans="1:18" ht="13.15" customHeight="1" x14ac:dyDescent="0.25">
      <c r="A161" s="192" t="s">
        <v>1355</v>
      </c>
      <c r="B161" s="192" t="s">
        <v>1375</v>
      </c>
      <c r="C161" s="192" t="s">
        <v>1374</v>
      </c>
      <c r="D161" s="192"/>
      <c r="E161" s="192"/>
      <c r="F161" s="193"/>
      <c r="G161" s="193"/>
      <c r="H161" s="192" t="s">
        <v>1376</v>
      </c>
      <c r="I161" s="192" t="s">
        <v>601</v>
      </c>
      <c r="J161" s="192" t="s">
        <v>602</v>
      </c>
      <c r="K161" s="192" t="s">
        <v>603</v>
      </c>
      <c r="L161" s="192" t="s">
        <v>604</v>
      </c>
      <c r="M161" s="192" t="s">
        <v>605</v>
      </c>
      <c r="N161" s="192"/>
      <c r="O161" s="192"/>
      <c r="P161" s="192"/>
      <c r="Q161" s="192"/>
      <c r="R161" s="192" t="s">
        <v>1003</v>
      </c>
    </row>
    <row r="162" spans="1:18" ht="13.15" customHeight="1" x14ac:dyDescent="0.25">
      <c r="A162" s="192" t="s">
        <v>1355</v>
      </c>
      <c r="B162" s="192" t="s">
        <v>1372</v>
      </c>
      <c r="C162" s="192" t="s">
        <v>1371</v>
      </c>
      <c r="D162" s="192"/>
      <c r="E162" s="192"/>
      <c r="F162" s="193"/>
      <c r="G162" s="193"/>
      <c r="H162" s="192" t="s">
        <v>1373</v>
      </c>
      <c r="I162" s="195" t="s">
        <v>622</v>
      </c>
      <c r="J162" s="192" t="s">
        <v>602</v>
      </c>
      <c r="K162" s="192" t="s">
        <v>603</v>
      </c>
      <c r="L162" s="192" t="s">
        <v>604</v>
      </c>
      <c r="M162" s="192" t="s">
        <v>605</v>
      </c>
      <c r="N162" s="192"/>
      <c r="O162" s="192"/>
      <c r="P162" s="192"/>
      <c r="Q162" s="192"/>
      <c r="R162" s="192" t="s">
        <v>1003</v>
      </c>
    </row>
    <row r="163" spans="1:18" ht="13.15" customHeight="1" x14ac:dyDescent="0.25">
      <c r="A163" s="192" t="s">
        <v>1536</v>
      </c>
      <c r="B163" s="192" t="s">
        <v>1778</v>
      </c>
      <c r="C163" s="192" t="s">
        <v>1777</v>
      </c>
      <c r="D163" s="192"/>
      <c r="E163" s="192"/>
      <c r="F163" s="193"/>
      <c r="G163" s="193"/>
      <c r="H163" s="192" t="s">
        <v>1779</v>
      </c>
      <c r="I163" s="192" t="s">
        <v>601</v>
      </c>
      <c r="J163" s="192" t="s">
        <v>602</v>
      </c>
      <c r="K163" s="192" t="s">
        <v>603</v>
      </c>
      <c r="L163" s="192" t="s">
        <v>604</v>
      </c>
      <c r="M163" s="192" t="s">
        <v>605</v>
      </c>
      <c r="N163" s="192"/>
      <c r="O163" s="192"/>
      <c r="P163" s="192"/>
      <c r="Q163" s="192"/>
      <c r="R163" s="192" t="s">
        <v>1003</v>
      </c>
    </row>
    <row r="164" spans="1:18" ht="13.15" customHeight="1" x14ac:dyDescent="0.25">
      <c r="A164" s="192" t="s">
        <v>1355</v>
      </c>
      <c r="B164" s="192" t="s">
        <v>1366</v>
      </c>
      <c r="C164" s="192" t="s">
        <v>1365</v>
      </c>
      <c r="D164" s="192">
        <v>475.17</v>
      </c>
      <c r="E164" s="192">
        <v>677.21</v>
      </c>
      <c r="F164" s="193"/>
      <c r="G164" s="193"/>
      <c r="H164" s="192" t="s">
        <v>1367</v>
      </c>
      <c r="I164" s="192" t="s">
        <v>601</v>
      </c>
      <c r="J164" s="192" t="s">
        <v>602</v>
      </c>
      <c r="K164" s="192" t="s">
        <v>603</v>
      </c>
      <c r="L164" s="192" t="s">
        <v>604</v>
      </c>
      <c r="M164" s="192" t="s">
        <v>605</v>
      </c>
      <c r="N164" s="192"/>
      <c r="O164" s="192"/>
      <c r="P164" s="192"/>
      <c r="Q164" s="192"/>
      <c r="R164" s="192" t="s">
        <v>1003</v>
      </c>
    </row>
    <row r="165" spans="1:18" ht="13.15" customHeight="1" x14ac:dyDescent="0.25">
      <c r="A165" s="192" t="s">
        <v>1355</v>
      </c>
      <c r="B165" s="192" t="s">
        <v>1363</v>
      </c>
      <c r="C165" s="192" t="s">
        <v>1362</v>
      </c>
      <c r="D165" s="192"/>
      <c r="E165" s="192"/>
      <c r="F165" s="193"/>
      <c r="G165" s="193"/>
      <c r="H165" s="192" t="s">
        <v>1364</v>
      </c>
      <c r="I165" s="192" t="s">
        <v>601</v>
      </c>
      <c r="J165" s="192" t="s">
        <v>602</v>
      </c>
      <c r="K165" s="192" t="s">
        <v>603</v>
      </c>
      <c r="L165" s="192" t="s">
        <v>604</v>
      </c>
      <c r="M165" s="192" t="s">
        <v>605</v>
      </c>
      <c r="N165" s="192"/>
      <c r="O165" s="192"/>
      <c r="P165" s="192"/>
      <c r="Q165" s="192"/>
      <c r="R165" s="192" t="s">
        <v>1003</v>
      </c>
    </row>
    <row r="166" spans="1:18" ht="13.15" customHeight="1" x14ac:dyDescent="0.25">
      <c r="A166" s="192" t="s">
        <v>1355</v>
      </c>
      <c r="B166" s="192" t="s">
        <v>1360</v>
      </c>
      <c r="C166" s="192" t="s">
        <v>1359</v>
      </c>
      <c r="D166" s="192"/>
      <c r="E166" s="192"/>
      <c r="F166" s="193"/>
      <c r="G166" s="193"/>
      <c r="H166" s="192" t="s">
        <v>1361</v>
      </c>
      <c r="I166" s="192" t="s">
        <v>601</v>
      </c>
      <c r="J166" s="192" t="s">
        <v>602</v>
      </c>
      <c r="K166" s="192" t="s">
        <v>1002</v>
      </c>
      <c r="L166" s="192" t="s">
        <v>604</v>
      </c>
      <c r="M166" s="192" t="s">
        <v>605</v>
      </c>
      <c r="N166" s="192"/>
      <c r="O166" s="192"/>
      <c r="P166" s="192"/>
      <c r="Q166" s="192"/>
      <c r="R166" s="192" t="s">
        <v>1003</v>
      </c>
    </row>
    <row r="167" spans="1:18" ht="13.15" customHeight="1" x14ac:dyDescent="0.25">
      <c r="A167" s="192" t="s">
        <v>1355</v>
      </c>
      <c r="B167" s="192" t="s">
        <v>1357</v>
      </c>
      <c r="C167" s="192" t="s">
        <v>1356</v>
      </c>
      <c r="D167" s="192"/>
      <c r="E167" s="192"/>
      <c r="F167" s="193"/>
      <c r="G167" s="193"/>
      <c r="H167" s="192" t="s">
        <v>1358</v>
      </c>
      <c r="I167" s="192" t="s">
        <v>601</v>
      </c>
      <c r="J167" s="192" t="s">
        <v>602</v>
      </c>
      <c r="K167" s="192" t="s">
        <v>1002</v>
      </c>
      <c r="L167" s="192" t="s">
        <v>708</v>
      </c>
      <c r="M167" s="192" t="s">
        <v>605</v>
      </c>
      <c r="N167" s="192"/>
      <c r="O167" s="192"/>
      <c r="P167" s="192"/>
      <c r="Q167" s="192"/>
      <c r="R167" s="192" t="s">
        <v>1003</v>
      </c>
    </row>
    <row r="168" spans="1:18" ht="13.15" customHeight="1" x14ac:dyDescent="0.25">
      <c r="A168" s="192" t="s">
        <v>1536</v>
      </c>
      <c r="B168" s="194"/>
      <c r="C168" s="192" t="s">
        <v>1850</v>
      </c>
      <c r="D168" s="192"/>
      <c r="E168" s="192"/>
      <c r="F168" s="193"/>
      <c r="G168" s="193"/>
      <c r="H168" s="192" t="s">
        <v>1851</v>
      </c>
      <c r="I168" s="195" t="s">
        <v>622</v>
      </c>
      <c r="J168" s="192" t="s">
        <v>602</v>
      </c>
      <c r="K168" s="192" t="s">
        <v>1002</v>
      </c>
      <c r="L168" s="192" t="s">
        <v>604</v>
      </c>
      <c r="M168" s="192" t="s">
        <v>605</v>
      </c>
      <c r="N168" s="192"/>
      <c r="O168" s="192"/>
      <c r="P168" s="192"/>
      <c r="Q168" s="192"/>
      <c r="R168" s="192" t="s">
        <v>1003</v>
      </c>
    </row>
    <row r="169" spans="1:18" ht="13.15" customHeight="1" x14ac:dyDescent="0.25">
      <c r="A169" s="192" t="s">
        <v>685</v>
      </c>
      <c r="B169" s="192" t="s">
        <v>53</v>
      </c>
      <c r="C169" s="192" t="s">
        <v>822</v>
      </c>
      <c r="D169" s="192">
        <v>498.99</v>
      </c>
      <c r="E169" s="192">
        <v>711.16</v>
      </c>
      <c r="F169" s="193"/>
      <c r="G169" s="193"/>
      <c r="H169" s="192" t="s">
        <v>823</v>
      </c>
      <c r="I169" s="192" t="s">
        <v>601</v>
      </c>
      <c r="J169" s="192" t="s">
        <v>602</v>
      </c>
      <c r="K169" s="192" t="s">
        <v>603</v>
      </c>
      <c r="L169" s="192" t="s">
        <v>604</v>
      </c>
      <c r="M169" s="192" t="s">
        <v>605</v>
      </c>
      <c r="N169" s="192"/>
      <c r="O169" s="192"/>
      <c r="P169" s="192" t="s">
        <v>704</v>
      </c>
      <c r="Q169" s="192" t="s">
        <v>824</v>
      </c>
      <c r="R169" s="192" t="s">
        <v>696</v>
      </c>
    </row>
    <row r="170" spans="1:18" ht="13.15" customHeight="1" x14ac:dyDescent="0.25">
      <c r="A170" s="192" t="s">
        <v>685</v>
      </c>
      <c r="B170" s="192" t="s">
        <v>70</v>
      </c>
      <c r="C170" s="192" t="s">
        <v>820</v>
      </c>
      <c r="D170" s="192">
        <v>1278.32</v>
      </c>
      <c r="E170" s="192">
        <v>1821.86</v>
      </c>
      <c r="F170" s="193"/>
      <c r="G170" s="193"/>
      <c r="H170" s="192" t="s">
        <v>821</v>
      </c>
      <c r="I170" s="192" t="s">
        <v>601</v>
      </c>
      <c r="J170" s="192" t="s">
        <v>602</v>
      </c>
      <c r="K170" s="192" t="s">
        <v>603</v>
      </c>
      <c r="L170" s="192" t="s">
        <v>695</v>
      </c>
      <c r="M170" s="192" t="s">
        <v>605</v>
      </c>
      <c r="N170" s="192" t="s">
        <v>616</v>
      </c>
      <c r="O170" s="192"/>
      <c r="P170" s="192" t="s">
        <v>704</v>
      </c>
      <c r="Q170" s="192" t="s">
        <v>803</v>
      </c>
      <c r="R170" s="192" t="s">
        <v>696</v>
      </c>
    </row>
    <row r="171" spans="1:18" ht="13.15" customHeight="1" x14ac:dyDescent="0.25">
      <c r="A171" s="192" t="s">
        <v>685</v>
      </c>
      <c r="B171" s="192" t="s">
        <v>74</v>
      </c>
      <c r="C171" s="192" t="s">
        <v>818</v>
      </c>
      <c r="D171" s="192">
        <v>1278.32</v>
      </c>
      <c r="E171" s="192">
        <v>1821.86</v>
      </c>
      <c r="F171" s="193"/>
      <c r="G171" s="193"/>
      <c r="H171" s="192" t="s">
        <v>819</v>
      </c>
      <c r="I171" s="192" t="s">
        <v>601</v>
      </c>
      <c r="J171" s="192" t="s">
        <v>602</v>
      </c>
      <c r="K171" s="192" t="s">
        <v>603</v>
      </c>
      <c r="L171" s="192" t="s">
        <v>695</v>
      </c>
      <c r="M171" s="192" t="s">
        <v>605</v>
      </c>
      <c r="N171" s="192" t="s">
        <v>616</v>
      </c>
      <c r="O171" s="192"/>
      <c r="P171" s="192" t="s">
        <v>704</v>
      </c>
      <c r="Q171" s="192" t="s">
        <v>803</v>
      </c>
      <c r="R171" s="192" t="s">
        <v>696</v>
      </c>
    </row>
    <row r="172" spans="1:18" ht="13.15" customHeight="1" x14ac:dyDescent="0.25">
      <c r="A172" s="192" t="s">
        <v>685</v>
      </c>
      <c r="B172" s="192" t="s">
        <v>66</v>
      </c>
      <c r="C172" s="192" t="s">
        <v>816</v>
      </c>
      <c r="D172" s="192">
        <v>1278.32</v>
      </c>
      <c r="E172" s="192">
        <v>1821.86</v>
      </c>
      <c r="F172" s="193"/>
      <c r="G172" s="193"/>
      <c r="H172" s="192" t="s">
        <v>817</v>
      </c>
      <c r="I172" s="192" t="s">
        <v>601</v>
      </c>
      <c r="J172" s="192" t="s">
        <v>602</v>
      </c>
      <c r="K172" s="192" t="s">
        <v>603</v>
      </c>
      <c r="L172" s="192" t="s">
        <v>695</v>
      </c>
      <c r="M172" s="192" t="s">
        <v>605</v>
      </c>
      <c r="N172" s="192" t="s">
        <v>616</v>
      </c>
      <c r="O172" s="192"/>
      <c r="P172" s="192" t="s">
        <v>704</v>
      </c>
      <c r="Q172" s="192" t="s">
        <v>803</v>
      </c>
      <c r="R172" s="192" t="s">
        <v>696</v>
      </c>
    </row>
    <row r="173" spans="1:18" ht="13.15" customHeight="1" x14ac:dyDescent="0.25">
      <c r="A173" s="192" t="s">
        <v>685</v>
      </c>
      <c r="B173" s="192" t="s">
        <v>62</v>
      </c>
      <c r="C173" s="192" t="s">
        <v>814</v>
      </c>
      <c r="D173" s="192">
        <v>1278.32</v>
      </c>
      <c r="E173" s="192">
        <v>1821.86</v>
      </c>
      <c r="F173" s="193"/>
      <c r="G173" s="193"/>
      <c r="H173" s="192" t="s">
        <v>815</v>
      </c>
      <c r="I173" s="192" t="s">
        <v>601</v>
      </c>
      <c r="J173" s="192" t="s">
        <v>602</v>
      </c>
      <c r="K173" s="192" t="s">
        <v>603</v>
      </c>
      <c r="L173" s="192" t="s">
        <v>695</v>
      </c>
      <c r="M173" s="192" t="s">
        <v>605</v>
      </c>
      <c r="N173" s="192" t="s">
        <v>616</v>
      </c>
      <c r="O173" s="192"/>
      <c r="P173" s="192" t="s">
        <v>704</v>
      </c>
      <c r="Q173" s="192" t="s">
        <v>803</v>
      </c>
      <c r="R173" s="192" t="s">
        <v>696</v>
      </c>
    </row>
    <row r="174" spans="1:18" ht="13.15" customHeight="1" x14ac:dyDescent="0.25">
      <c r="A174" s="192" t="s">
        <v>685</v>
      </c>
      <c r="B174" s="192" t="s">
        <v>58</v>
      </c>
      <c r="C174" s="192" t="s">
        <v>812</v>
      </c>
      <c r="D174" s="192">
        <v>1278.32</v>
      </c>
      <c r="E174" s="192">
        <v>1821.86</v>
      </c>
      <c r="F174" s="193"/>
      <c r="G174" s="193"/>
      <c r="H174" s="192" t="s">
        <v>813</v>
      </c>
      <c r="I174" s="192" t="s">
        <v>601</v>
      </c>
      <c r="J174" s="192" t="s">
        <v>602</v>
      </c>
      <c r="K174" s="192" t="s">
        <v>603</v>
      </c>
      <c r="L174" s="192" t="s">
        <v>695</v>
      </c>
      <c r="M174" s="192" t="s">
        <v>605</v>
      </c>
      <c r="N174" s="192" t="s">
        <v>616</v>
      </c>
      <c r="O174" s="192"/>
      <c r="P174" s="192" t="s">
        <v>704</v>
      </c>
      <c r="Q174" s="192" t="s">
        <v>803</v>
      </c>
      <c r="R174" s="192" t="s">
        <v>696</v>
      </c>
    </row>
    <row r="175" spans="1:18" ht="13.15" customHeight="1" x14ac:dyDescent="0.25">
      <c r="A175" s="192" t="s">
        <v>685</v>
      </c>
      <c r="B175" s="192" t="s">
        <v>68</v>
      </c>
      <c r="C175" s="192" t="s">
        <v>810</v>
      </c>
      <c r="D175" s="192">
        <v>1037.98</v>
      </c>
      <c r="E175" s="192">
        <v>1479.33</v>
      </c>
      <c r="F175" s="193"/>
      <c r="G175" s="193"/>
      <c r="H175" s="192" t="s">
        <v>811</v>
      </c>
      <c r="I175" s="192" t="s">
        <v>601</v>
      </c>
      <c r="J175" s="192" t="s">
        <v>602</v>
      </c>
      <c r="K175" s="192" t="s">
        <v>603</v>
      </c>
      <c r="L175" s="192" t="s">
        <v>708</v>
      </c>
      <c r="M175" s="192" t="s">
        <v>605</v>
      </c>
      <c r="N175" s="192" t="s">
        <v>616</v>
      </c>
      <c r="O175" s="192"/>
      <c r="P175" s="192" t="s">
        <v>704</v>
      </c>
      <c r="Q175" s="192" t="s">
        <v>803</v>
      </c>
      <c r="R175" s="192" t="s">
        <v>696</v>
      </c>
    </row>
    <row r="176" spans="1:18" ht="13.15" customHeight="1" x14ac:dyDescent="0.25">
      <c r="A176" s="192" t="s">
        <v>685</v>
      </c>
      <c r="B176" s="192" t="s">
        <v>72</v>
      </c>
      <c r="C176" s="192" t="s">
        <v>808</v>
      </c>
      <c r="D176" s="192">
        <v>1037.98</v>
      </c>
      <c r="E176" s="192">
        <v>1479.33</v>
      </c>
      <c r="F176" s="193"/>
      <c r="G176" s="193"/>
      <c r="H176" s="192" t="s">
        <v>809</v>
      </c>
      <c r="I176" s="192" t="s">
        <v>601</v>
      </c>
      <c r="J176" s="192" t="s">
        <v>602</v>
      </c>
      <c r="K176" s="192" t="s">
        <v>603</v>
      </c>
      <c r="L176" s="192" t="s">
        <v>708</v>
      </c>
      <c r="M176" s="192" t="s">
        <v>605</v>
      </c>
      <c r="N176" s="192" t="s">
        <v>616</v>
      </c>
      <c r="O176" s="192"/>
      <c r="P176" s="192" t="s">
        <v>704</v>
      </c>
      <c r="Q176" s="192" t="s">
        <v>803</v>
      </c>
      <c r="R176" s="192" t="s">
        <v>696</v>
      </c>
    </row>
    <row r="177" spans="1:18" ht="13.15" customHeight="1" x14ac:dyDescent="0.25">
      <c r="A177" s="192" t="s">
        <v>685</v>
      </c>
      <c r="B177" s="192" t="s">
        <v>64</v>
      </c>
      <c r="C177" s="192" t="s">
        <v>806</v>
      </c>
      <c r="D177" s="192">
        <v>1037.98</v>
      </c>
      <c r="E177" s="192">
        <v>1479.33</v>
      </c>
      <c r="F177" s="193"/>
      <c r="G177" s="193"/>
      <c r="H177" s="192" t="s">
        <v>807</v>
      </c>
      <c r="I177" s="192" t="s">
        <v>601</v>
      </c>
      <c r="J177" s="192" t="s">
        <v>602</v>
      </c>
      <c r="K177" s="192" t="s">
        <v>603</v>
      </c>
      <c r="L177" s="192" t="s">
        <v>708</v>
      </c>
      <c r="M177" s="192" t="s">
        <v>605</v>
      </c>
      <c r="N177" s="192" t="s">
        <v>616</v>
      </c>
      <c r="O177" s="192"/>
      <c r="P177" s="192" t="s">
        <v>704</v>
      </c>
      <c r="Q177" s="192" t="s">
        <v>803</v>
      </c>
      <c r="R177" s="192" t="s">
        <v>696</v>
      </c>
    </row>
    <row r="178" spans="1:18" ht="13.15" customHeight="1" x14ac:dyDescent="0.25">
      <c r="A178" s="192" t="s">
        <v>685</v>
      </c>
      <c r="B178" s="192" t="s">
        <v>60</v>
      </c>
      <c r="C178" s="192" t="s">
        <v>804</v>
      </c>
      <c r="D178" s="192">
        <v>1037.98</v>
      </c>
      <c r="E178" s="192">
        <v>1479.33</v>
      </c>
      <c r="F178" s="193"/>
      <c r="G178" s="193"/>
      <c r="H178" s="192" t="s">
        <v>805</v>
      </c>
      <c r="I178" s="192" t="s">
        <v>601</v>
      </c>
      <c r="J178" s="192" t="s">
        <v>602</v>
      </c>
      <c r="K178" s="192" t="s">
        <v>603</v>
      </c>
      <c r="L178" s="192" t="s">
        <v>708</v>
      </c>
      <c r="M178" s="192" t="s">
        <v>605</v>
      </c>
      <c r="N178" s="192" t="s">
        <v>616</v>
      </c>
      <c r="O178" s="192"/>
      <c r="P178" s="192" t="s">
        <v>704</v>
      </c>
      <c r="Q178" s="192" t="s">
        <v>803</v>
      </c>
      <c r="R178" s="192" t="s">
        <v>696</v>
      </c>
    </row>
    <row r="179" spans="1:18" ht="13.15" customHeight="1" x14ac:dyDescent="0.25">
      <c r="A179" s="192" t="s">
        <v>685</v>
      </c>
      <c r="B179" s="192" t="s">
        <v>56</v>
      </c>
      <c r="C179" s="192" t="s">
        <v>801</v>
      </c>
      <c r="D179" s="192">
        <v>1037.98</v>
      </c>
      <c r="E179" s="192">
        <v>1479.33</v>
      </c>
      <c r="F179" s="193"/>
      <c r="G179" s="193"/>
      <c r="H179" s="192" t="s">
        <v>802</v>
      </c>
      <c r="I179" s="192" t="s">
        <v>601</v>
      </c>
      <c r="J179" s="192" t="s">
        <v>602</v>
      </c>
      <c r="K179" s="192" t="s">
        <v>603</v>
      </c>
      <c r="L179" s="192" t="s">
        <v>708</v>
      </c>
      <c r="M179" s="192" t="s">
        <v>605</v>
      </c>
      <c r="N179" s="192" t="s">
        <v>616</v>
      </c>
      <c r="O179" s="192"/>
      <c r="P179" s="192" t="s">
        <v>704</v>
      </c>
      <c r="Q179" s="192" t="s">
        <v>803</v>
      </c>
      <c r="R179" s="192" t="s">
        <v>696</v>
      </c>
    </row>
    <row r="180" spans="1:18" ht="13.15" customHeight="1" x14ac:dyDescent="0.25">
      <c r="A180" s="192" t="s">
        <v>685</v>
      </c>
      <c r="B180" s="192" t="s">
        <v>374</v>
      </c>
      <c r="C180" s="192" t="s">
        <v>799</v>
      </c>
      <c r="D180" s="192">
        <v>1378.09</v>
      </c>
      <c r="E180" s="192">
        <v>1964.05</v>
      </c>
      <c r="F180" s="193"/>
      <c r="G180" s="193"/>
      <c r="H180" s="192" t="s">
        <v>800</v>
      </c>
      <c r="I180" s="192" t="s">
        <v>601</v>
      </c>
      <c r="J180" s="192" t="s">
        <v>602</v>
      </c>
      <c r="K180" s="192" t="s">
        <v>603</v>
      </c>
      <c r="L180" s="192" t="s">
        <v>695</v>
      </c>
      <c r="M180" s="192" t="s">
        <v>605</v>
      </c>
      <c r="N180" s="192" t="s">
        <v>616</v>
      </c>
      <c r="O180" s="192"/>
      <c r="P180" s="192" t="s">
        <v>704</v>
      </c>
      <c r="Q180" s="192" t="s">
        <v>760</v>
      </c>
      <c r="R180" s="192" t="s">
        <v>696</v>
      </c>
    </row>
    <row r="181" spans="1:18" ht="13.15" customHeight="1" x14ac:dyDescent="0.25">
      <c r="A181" s="192" t="s">
        <v>685</v>
      </c>
      <c r="B181" s="192" t="s">
        <v>377</v>
      </c>
      <c r="C181" s="192" t="s">
        <v>797</v>
      </c>
      <c r="D181" s="192">
        <v>1666.39</v>
      </c>
      <c r="E181" s="192">
        <v>2374.94</v>
      </c>
      <c r="F181" s="193"/>
      <c r="G181" s="193"/>
      <c r="H181" s="192" t="s">
        <v>798</v>
      </c>
      <c r="I181" s="192" t="s">
        <v>601</v>
      </c>
      <c r="J181" s="192" t="s">
        <v>602</v>
      </c>
      <c r="K181" s="192" t="s">
        <v>603</v>
      </c>
      <c r="L181" s="192" t="s">
        <v>708</v>
      </c>
      <c r="M181" s="192" t="s">
        <v>605</v>
      </c>
      <c r="N181" s="192" t="s">
        <v>616</v>
      </c>
      <c r="O181" s="192"/>
      <c r="P181" s="192"/>
      <c r="Q181" s="192"/>
      <c r="R181" s="192" t="s">
        <v>696</v>
      </c>
    </row>
    <row r="182" spans="1:18" ht="13.15" customHeight="1" x14ac:dyDescent="0.25">
      <c r="A182" s="192" t="s">
        <v>685</v>
      </c>
      <c r="B182" s="192" t="s">
        <v>554</v>
      </c>
      <c r="C182" s="192" t="s">
        <v>795</v>
      </c>
      <c r="D182" s="192">
        <v>135.61000000000001</v>
      </c>
      <c r="E182" s="192">
        <v>193.27</v>
      </c>
      <c r="F182" s="193"/>
      <c r="G182" s="193"/>
      <c r="H182" s="192" t="s">
        <v>796</v>
      </c>
      <c r="I182" s="192" t="s">
        <v>601</v>
      </c>
      <c r="J182" s="192" t="s">
        <v>602</v>
      </c>
      <c r="K182" s="192" t="s">
        <v>603</v>
      </c>
      <c r="L182" s="192" t="s">
        <v>708</v>
      </c>
      <c r="M182" s="192" t="s">
        <v>605</v>
      </c>
      <c r="N182" s="192"/>
      <c r="O182" s="192"/>
      <c r="P182" s="192"/>
      <c r="Q182" s="192"/>
      <c r="R182" s="192" t="s">
        <v>696</v>
      </c>
    </row>
    <row r="183" spans="1:18" ht="13.15" customHeight="1" x14ac:dyDescent="0.25">
      <c r="A183" s="192" t="s">
        <v>685</v>
      </c>
      <c r="B183" s="192" t="s">
        <v>39</v>
      </c>
      <c r="C183" s="192" t="s">
        <v>793</v>
      </c>
      <c r="D183" s="192">
        <v>2066.04</v>
      </c>
      <c r="E183" s="192">
        <v>2944.52</v>
      </c>
      <c r="F183" s="193"/>
      <c r="G183" s="193"/>
      <c r="H183" s="192" t="s">
        <v>794</v>
      </c>
      <c r="I183" s="192" t="s">
        <v>601</v>
      </c>
      <c r="J183" s="192" t="s">
        <v>602</v>
      </c>
      <c r="K183" s="192" t="s">
        <v>603</v>
      </c>
      <c r="L183" s="192" t="s">
        <v>604</v>
      </c>
      <c r="M183" s="192" t="s">
        <v>605</v>
      </c>
      <c r="N183" s="192" t="s">
        <v>616</v>
      </c>
      <c r="O183" s="192"/>
      <c r="P183" s="192" t="s">
        <v>704</v>
      </c>
      <c r="Q183" s="192" t="s">
        <v>760</v>
      </c>
      <c r="R183" s="192" t="s">
        <v>696</v>
      </c>
    </row>
    <row r="184" spans="1:18" ht="13.15" customHeight="1" x14ac:dyDescent="0.25">
      <c r="A184" s="192" t="s">
        <v>685</v>
      </c>
      <c r="B184" s="192" t="s">
        <v>791</v>
      </c>
      <c r="C184" s="192" t="s">
        <v>790</v>
      </c>
      <c r="D184" s="192"/>
      <c r="E184" s="192"/>
      <c r="F184" s="193"/>
      <c r="G184" s="193"/>
      <c r="H184" s="192" t="s">
        <v>792</v>
      </c>
      <c r="I184" s="192" t="s">
        <v>601</v>
      </c>
      <c r="J184" s="192" t="s">
        <v>602</v>
      </c>
      <c r="K184" s="192" t="s">
        <v>603</v>
      </c>
      <c r="L184" s="192" t="s">
        <v>708</v>
      </c>
      <c r="M184" s="192" t="s">
        <v>605</v>
      </c>
      <c r="N184" s="192" t="s">
        <v>616</v>
      </c>
      <c r="O184" s="192"/>
      <c r="P184" s="192"/>
      <c r="Q184" s="192"/>
      <c r="R184" s="192" t="s">
        <v>696</v>
      </c>
    </row>
    <row r="185" spans="1:18" ht="13.15" customHeight="1" x14ac:dyDescent="0.25">
      <c r="A185" s="192" t="s">
        <v>685</v>
      </c>
      <c r="B185" s="192" t="s">
        <v>561</v>
      </c>
      <c r="C185" s="192" t="s">
        <v>788</v>
      </c>
      <c r="D185" s="192">
        <v>818.59</v>
      </c>
      <c r="E185" s="192">
        <v>1166.6500000000001</v>
      </c>
      <c r="F185" s="193"/>
      <c r="G185" s="193"/>
      <c r="H185" s="192" t="s">
        <v>789</v>
      </c>
      <c r="I185" s="192" t="s">
        <v>601</v>
      </c>
      <c r="J185" s="192" t="s">
        <v>602</v>
      </c>
      <c r="K185" s="192" t="s">
        <v>603</v>
      </c>
      <c r="L185" s="192" t="s">
        <v>604</v>
      </c>
      <c r="M185" s="192" t="s">
        <v>605</v>
      </c>
      <c r="N185" s="192" t="s">
        <v>616</v>
      </c>
      <c r="O185" s="192"/>
      <c r="P185" s="192"/>
      <c r="Q185" s="192"/>
      <c r="R185" s="192" t="s">
        <v>696</v>
      </c>
    </row>
    <row r="186" spans="1:18" ht="13.15" customHeight="1" x14ac:dyDescent="0.25">
      <c r="A186" s="192" t="s">
        <v>685</v>
      </c>
      <c r="B186" s="192" t="s">
        <v>37</v>
      </c>
      <c r="C186" s="192" t="s">
        <v>784</v>
      </c>
      <c r="D186" s="192">
        <v>1378.09</v>
      </c>
      <c r="E186" s="192">
        <v>1964.05</v>
      </c>
      <c r="F186" s="193"/>
      <c r="G186" s="193"/>
      <c r="H186" s="192" t="s">
        <v>785</v>
      </c>
      <c r="I186" s="192" t="s">
        <v>601</v>
      </c>
      <c r="J186" s="192" t="s">
        <v>602</v>
      </c>
      <c r="K186" s="192" t="s">
        <v>603</v>
      </c>
      <c r="L186" s="192" t="s">
        <v>708</v>
      </c>
      <c r="M186" s="192" t="s">
        <v>605</v>
      </c>
      <c r="N186" s="192" t="s">
        <v>616</v>
      </c>
      <c r="O186" s="192"/>
      <c r="P186" s="192"/>
      <c r="Q186" s="192"/>
      <c r="R186" s="192" t="s">
        <v>696</v>
      </c>
    </row>
    <row r="187" spans="1:18" ht="13.15" customHeight="1" x14ac:dyDescent="0.25">
      <c r="A187" s="192" t="s">
        <v>685</v>
      </c>
      <c r="B187" s="192" t="s">
        <v>386</v>
      </c>
      <c r="C187" s="192" t="s">
        <v>786</v>
      </c>
      <c r="D187" s="192">
        <v>2366.2800000000002</v>
      </c>
      <c r="E187" s="192">
        <v>3372.42</v>
      </c>
      <c r="F187" s="193"/>
      <c r="G187" s="193"/>
      <c r="H187" s="192" t="s">
        <v>787</v>
      </c>
      <c r="I187" s="192" t="s">
        <v>601</v>
      </c>
      <c r="J187" s="192" t="s">
        <v>602</v>
      </c>
      <c r="K187" s="192" t="s">
        <v>603</v>
      </c>
      <c r="L187" s="192" t="s">
        <v>708</v>
      </c>
      <c r="M187" s="192" t="s">
        <v>605</v>
      </c>
      <c r="N187" s="192" t="s">
        <v>616</v>
      </c>
      <c r="O187" s="192"/>
      <c r="P187" s="192"/>
      <c r="Q187" s="192"/>
      <c r="R187" s="192" t="s">
        <v>696</v>
      </c>
    </row>
    <row r="188" spans="1:18" ht="13.15" customHeight="1" x14ac:dyDescent="0.25">
      <c r="A188" s="192" t="s">
        <v>685</v>
      </c>
      <c r="B188" s="194"/>
      <c r="C188" s="192" t="s">
        <v>782</v>
      </c>
      <c r="D188" s="192">
        <v>972.94</v>
      </c>
      <c r="E188" s="192">
        <v>1386.63</v>
      </c>
      <c r="F188" s="193"/>
      <c r="G188" s="193"/>
      <c r="H188" s="192" t="s">
        <v>783</v>
      </c>
      <c r="I188" s="195" t="s">
        <v>622</v>
      </c>
      <c r="J188" s="192" t="s">
        <v>602</v>
      </c>
      <c r="K188" s="192" t="s">
        <v>603</v>
      </c>
      <c r="L188" s="192" t="s">
        <v>708</v>
      </c>
      <c r="M188" s="192" t="s">
        <v>605</v>
      </c>
      <c r="N188" s="192" t="s">
        <v>616</v>
      </c>
      <c r="O188" s="192"/>
      <c r="P188" s="192"/>
      <c r="Q188" s="192"/>
      <c r="R188" s="192" t="s">
        <v>696</v>
      </c>
    </row>
    <row r="189" spans="1:18" ht="13.15" customHeight="1" x14ac:dyDescent="0.25">
      <c r="A189" s="192" t="s">
        <v>685</v>
      </c>
      <c r="B189" s="192" t="s">
        <v>389</v>
      </c>
      <c r="C189" s="192" t="s">
        <v>780</v>
      </c>
      <c r="D189" s="192">
        <v>737.56</v>
      </c>
      <c r="E189" s="192">
        <v>1051.17</v>
      </c>
      <c r="F189" s="193"/>
      <c r="G189" s="193"/>
      <c r="H189" s="192" t="s">
        <v>781</v>
      </c>
      <c r="I189" s="192" t="s">
        <v>601</v>
      </c>
      <c r="J189" s="192" t="s">
        <v>602</v>
      </c>
      <c r="K189" s="192" t="s">
        <v>603</v>
      </c>
      <c r="L189" s="192" t="s">
        <v>695</v>
      </c>
      <c r="M189" s="192" t="s">
        <v>605</v>
      </c>
      <c r="N189" s="192" t="s">
        <v>616</v>
      </c>
      <c r="O189" s="192"/>
      <c r="P189" s="192"/>
      <c r="Q189" s="192"/>
      <c r="R189" s="192" t="s">
        <v>696</v>
      </c>
    </row>
    <row r="190" spans="1:18" ht="13.15" customHeight="1" x14ac:dyDescent="0.25">
      <c r="A190" s="192" t="s">
        <v>685</v>
      </c>
      <c r="B190" s="192" t="s">
        <v>391</v>
      </c>
      <c r="C190" s="192" t="s">
        <v>778</v>
      </c>
      <c r="D190" s="192">
        <v>596.44000000000005</v>
      </c>
      <c r="E190" s="192">
        <v>850.05</v>
      </c>
      <c r="F190" s="193"/>
      <c r="G190" s="193"/>
      <c r="H190" s="192" t="s">
        <v>779</v>
      </c>
      <c r="I190" s="192" t="s">
        <v>601</v>
      </c>
      <c r="J190" s="192" t="s">
        <v>602</v>
      </c>
      <c r="K190" s="192" t="s">
        <v>603</v>
      </c>
      <c r="L190" s="192" t="s">
        <v>708</v>
      </c>
      <c r="M190" s="192" t="s">
        <v>605</v>
      </c>
      <c r="N190" s="192"/>
      <c r="O190" s="192"/>
      <c r="P190" s="192"/>
      <c r="Q190" s="192"/>
      <c r="R190" s="192" t="s">
        <v>696</v>
      </c>
    </row>
    <row r="191" spans="1:18" ht="13.15" customHeight="1" x14ac:dyDescent="0.25">
      <c r="A191" s="192" t="s">
        <v>685</v>
      </c>
      <c r="B191" s="192" t="s">
        <v>392</v>
      </c>
      <c r="C191" s="192" t="s">
        <v>776</v>
      </c>
      <c r="D191" s="192">
        <v>596.44000000000005</v>
      </c>
      <c r="E191" s="192">
        <v>850.05</v>
      </c>
      <c r="F191" s="193"/>
      <c r="G191" s="193"/>
      <c r="H191" s="192" t="s">
        <v>777</v>
      </c>
      <c r="I191" s="192" t="s">
        <v>601</v>
      </c>
      <c r="J191" s="192" t="s">
        <v>602</v>
      </c>
      <c r="K191" s="192" t="s">
        <v>603</v>
      </c>
      <c r="L191" s="192" t="s">
        <v>708</v>
      </c>
      <c r="M191" s="192" t="s">
        <v>605</v>
      </c>
      <c r="N191" s="192" t="s">
        <v>616</v>
      </c>
      <c r="O191" s="192"/>
      <c r="P191" s="192"/>
      <c r="Q191" s="192"/>
      <c r="R191" s="192" t="s">
        <v>696</v>
      </c>
    </row>
    <row r="192" spans="1:18" ht="13.15" customHeight="1" x14ac:dyDescent="0.25">
      <c r="A192" s="192" t="s">
        <v>685</v>
      </c>
      <c r="B192" s="192" t="s">
        <v>393</v>
      </c>
      <c r="C192" s="192" t="s">
        <v>774</v>
      </c>
      <c r="D192" s="192">
        <v>596.44000000000005</v>
      </c>
      <c r="E192" s="192">
        <v>850.05</v>
      </c>
      <c r="F192" s="193"/>
      <c r="G192" s="193"/>
      <c r="H192" s="192" t="s">
        <v>775</v>
      </c>
      <c r="I192" s="192" t="s">
        <v>601</v>
      </c>
      <c r="J192" s="192" t="s">
        <v>602</v>
      </c>
      <c r="K192" s="192" t="s">
        <v>603</v>
      </c>
      <c r="L192" s="192" t="s">
        <v>708</v>
      </c>
      <c r="M192" s="192" t="s">
        <v>605</v>
      </c>
      <c r="N192" s="192"/>
      <c r="O192" s="192"/>
      <c r="P192" s="192"/>
      <c r="Q192" s="192"/>
      <c r="R192" s="192" t="s">
        <v>696</v>
      </c>
    </row>
    <row r="193" spans="1:18" ht="13.15" customHeight="1" x14ac:dyDescent="0.25">
      <c r="A193" s="192" t="s">
        <v>1536</v>
      </c>
      <c r="B193" s="192" t="s">
        <v>556</v>
      </c>
      <c r="C193" s="192" t="s">
        <v>1773</v>
      </c>
      <c r="D193" s="192">
        <v>125.68</v>
      </c>
      <c r="E193" s="192">
        <v>179.12</v>
      </c>
      <c r="F193" s="193"/>
      <c r="G193" s="193"/>
      <c r="H193" s="192" t="s">
        <v>1774</v>
      </c>
      <c r="I193" s="192" t="s">
        <v>601</v>
      </c>
      <c r="J193" s="192" t="s">
        <v>602</v>
      </c>
      <c r="K193" s="192" t="s">
        <v>603</v>
      </c>
      <c r="L193" s="192" t="s">
        <v>695</v>
      </c>
      <c r="M193" s="192" t="s">
        <v>605</v>
      </c>
      <c r="N193" s="192" t="s">
        <v>616</v>
      </c>
      <c r="O193" s="192"/>
      <c r="P193" s="192"/>
      <c r="Q193" s="192"/>
      <c r="R193" s="192" t="s">
        <v>696</v>
      </c>
    </row>
    <row r="194" spans="1:18" ht="13.15" customHeight="1" x14ac:dyDescent="0.25">
      <c r="A194" s="192" t="s">
        <v>685</v>
      </c>
      <c r="B194" s="192" t="s">
        <v>553</v>
      </c>
      <c r="C194" s="192" t="s">
        <v>772</v>
      </c>
      <c r="D194" s="192">
        <v>100.87</v>
      </c>
      <c r="E194" s="192">
        <v>143.76</v>
      </c>
      <c r="F194" s="193"/>
      <c r="G194" s="193"/>
      <c r="H194" s="192" t="s">
        <v>773</v>
      </c>
      <c r="I194" s="192" t="s">
        <v>601</v>
      </c>
      <c r="J194" s="192" t="s">
        <v>602</v>
      </c>
      <c r="K194" s="192" t="s">
        <v>603</v>
      </c>
      <c r="L194" s="192" t="s">
        <v>708</v>
      </c>
      <c r="M194" s="192" t="s">
        <v>605</v>
      </c>
      <c r="N194" s="192" t="s">
        <v>616</v>
      </c>
      <c r="O194" s="192"/>
      <c r="P194" s="192"/>
      <c r="Q194" s="192"/>
      <c r="R194" s="192" t="s">
        <v>696</v>
      </c>
    </row>
    <row r="195" spans="1:18" ht="13.15" customHeight="1" x14ac:dyDescent="0.25">
      <c r="A195" s="192" t="s">
        <v>685</v>
      </c>
      <c r="B195" s="192" t="s">
        <v>50</v>
      </c>
      <c r="C195" s="192" t="s">
        <v>770</v>
      </c>
      <c r="D195" s="192">
        <v>237.22</v>
      </c>
      <c r="E195" s="192">
        <v>338.09</v>
      </c>
      <c r="F195" s="193"/>
      <c r="G195" s="193"/>
      <c r="H195" s="192" t="s">
        <v>771</v>
      </c>
      <c r="I195" s="192" t="s">
        <v>601</v>
      </c>
      <c r="J195" s="192" t="s">
        <v>602</v>
      </c>
      <c r="K195" s="192" t="s">
        <v>603</v>
      </c>
      <c r="L195" s="192" t="s">
        <v>708</v>
      </c>
      <c r="M195" s="192" t="s">
        <v>605</v>
      </c>
      <c r="N195" s="192" t="s">
        <v>616</v>
      </c>
      <c r="O195" s="192"/>
      <c r="P195" s="192" t="s">
        <v>704</v>
      </c>
      <c r="Q195" s="192" t="s">
        <v>767</v>
      </c>
      <c r="R195" s="192" t="s">
        <v>696</v>
      </c>
    </row>
    <row r="196" spans="1:18" ht="13.15" customHeight="1" x14ac:dyDescent="0.25">
      <c r="A196" s="192" t="s">
        <v>685</v>
      </c>
      <c r="B196" s="192" t="s">
        <v>48</v>
      </c>
      <c r="C196" s="192" t="s">
        <v>768</v>
      </c>
      <c r="D196" s="192">
        <v>368.89</v>
      </c>
      <c r="E196" s="192">
        <v>525.74</v>
      </c>
      <c r="F196" s="193"/>
      <c r="G196" s="193"/>
      <c r="H196" s="192" t="s">
        <v>769</v>
      </c>
      <c r="I196" s="192" t="s">
        <v>601</v>
      </c>
      <c r="J196" s="192" t="s">
        <v>602</v>
      </c>
      <c r="K196" s="192" t="s">
        <v>603</v>
      </c>
      <c r="L196" s="192" t="s">
        <v>708</v>
      </c>
      <c r="M196" s="192" t="s">
        <v>605</v>
      </c>
      <c r="N196" s="192" t="s">
        <v>616</v>
      </c>
      <c r="O196" s="192"/>
      <c r="P196" s="192" t="s">
        <v>704</v>
      </c>
      <c r="Q196" s="192" t="s">
        <v>767</v>
      </c>
      <c r="R196" s="192" t="s">
        <v>696</v>
      </c>
    </row>
    <row r="197" spans="1:18" ht="13.15" customHeight="1" x14ac:dyDescent="0.25">
      <c r="A197" s="192" t="s">
        <v>685</v>
      </c>
      <c r="B197" s="192" t="s">
        <v>46</v>
      </c>
      <c r="C197" s="192" t="s">
        <v>765</v>
      </c>
      <c r="D197" s="192">
        <v>1732.54</v>
      </c>
      <c r="E197" s="192">
        <v>2469.2199999999998</v>
      </c>
      <c r="F197" s="193"/>
      <c r="G197" s="193"/>
      <c r="H197" s="192" t="s">
        <v>766</v>
      </c>
      <c r="I197" s="192" t="s">
        <v>601</v>
      </c>
      <c r="J197" s="192" t="s">
        <v>602</v>
      </c>
      <c r="K197" s="192" t="s">
        <v>603</v>
      </c>
      <c r="L197" s="192" t="s">
        <v>604</v>
      </c>
      <c r="M197" s="192" t="s">
        <v>605</v>
      </c>
      <c r="N197" s="192"/>
      <c r="O197" s="192"/>
      <c r="P197" s="192" t="s">
        <v>704</v>
      </c>
      <c r="Q197" s="192" t="s">
        <v>767</v>
      </c>
      <c r="R197" s="192" t="s">
        <v>696</v>
      </c>
    </row>
    <row r="198" spans="1:18" ht="13.15" customHeight="1" x14ac:dyDescent="0.25">
      <c r="A198" s="192" t="s">
        <v>685</v>
      </c>
      <c r="B198" s="192" t="s">
        <v>43</v>
      </c>
      <c r="C198" s="192" t="s">
        <v>763</v>
      </c>
      <c r="D198" s="192">
        <v>451.96</v>
      </c>
      <c r="E198" s="192">
        <v>644.13</v>
      </c>
      <c r="F198" s="193"/>
      <c r="G198" s="193"/>
      <c r="H198" s="192" t="s">
        <v>764</v>
      </c>
      <c r="I198" s="192" t="s">
        <v>601</v>
      </c>
      <c r="J198" s="192" t="s">
        <v>602</v>
      </c>
      <c r="K198" s="192" t="s">
        <v>603</v>
      </c>
      <c r="L198" s="192" t="s">
        <v>604</v>
      </c>
      <c r="M198" s="192" t="s">
        <v>605</v>
      </c>
      <c r="N198" s="192"/>
      <c r="O198" s="192"/>
      <c r="P198" s="192" t="s">
        <v>704</v>
      </c>
      <c r="Q198" s="192" t="s">
        <v>760</v>
      </c>
      <c r="R198" s="192" t="s">
        <v>696</v>
      </c>
    </row>
    <row r="199" spans="1:18" ht="13.15" customHeight="1" x14ac:dyDescent="0.25">
      <c r="A199" s="192" t="s">
        <v>685</v>
      </c>
      <c r="B199" s="192" t="s">
        <v>350</v>
      </c>
      <c r="C199" s="192" t="s">
        <v>761</v>
      </c>
      <c r="D199" s="192">
        <v>1956.9</v>
      </c>
      <c r="E199" s="192">
        <v>2788.97</v>
      </c>
      <c r="F199" s="193"/>
      <c r="G199" s="193"/>
      <c r="H199" s="192" t="s">
        <v>762</v>
      </c>
      <c r="I199" s="192" t="s">
        <v>601</v>
      </c>
      <c r="J199" s="192" t="s">
        <v>602</v>
      </c>
      <c r="K199" s="192" t="s">
        <v>603</v>
      </c>
      <c r="L199" s="192" t="s">
        <v>604</v>
      </c>
      <c r="M199" s="192" t="s">
        <v>605</v>
      </c>
      <c r="N199" s="192"/>
      <c r="O199" s="192"/>
      <c r="P199" s="192"/>
      <c r="Q199" s="192"/>
      <c r="R199" s="192" t="s">
        <v>696</v>
      </c>
    </row>
    <row r="200" spans="1:18" ht="13.15" customHeight="1" x14ac:dyDescent="0.25">
      <c r="A200" s="192" t="s">
        <v>685</v>
      </c>
      <c r="B200" s="192" t="s">
        <v>41</v>
      </c>
      <c r="C200" s="192" t="s">
        <v>758</v>
      </c>
      <c r="D200" s="192">
        <v>1956.9</v>
      </c>
      <c r="E200" s="192">
        <v>2788.97</v>
      </c>
      <c r="F200" s="193"/>
      <c r="G200" s="193"/>
      <c r="H200" s="192" t="s">
        <v>759</v>
      </c>
      <c r="I200" s="192" t="s">
        <v>601</v>
      </c>
      <c r="J200" s="192" t="s">
        <v>602</v>
      </c>
      <c r="K200" s="192" t="s">
        <v>603</v>
      </c>
      <c r="L200" s="192" t="s">
        <v>604</v>
      </c>
      <c r="M200" s="192" t="s">
        <v>605</v>
      </c>
      <c r="N200" s="192"/>
      <c r="O200" s="192"/>
      <c r="P200" s="192" t="s">
        <v>704</v>
      </c>
      <c r="Q200" s="192" t="s">
        <v>760</v>
      </c>
      <c r="R200" s="192" t="s">
        <v>696</v>
      </c>
    </row>
    <row r="201" spans="1:18" ht="13.15" customHeight="1" x14ac:dyDescent="0.25">
      <c r="A201" s="192" t="s">
        <v>685</v>
      </c>
      <c r="B201" s="192" t="s">
        <v>30</v>
      </c>
      <c r="C201" s="192" t="s">
        <v>756</v>
      </c>
      <c r="D201" s="192">
        <v>298.87</v>
      </c>
      <c r="E201" s="192">
        <v>425.95</v>
      </c>
      <c r="F201" s="193"/>
      <c r="G201" s="193"/>
      <c r="H201" s="192" t="s">
        <v>757</v>
      </c>
      <c r="I201" s="192" t="s">
        <v>601</v>
      </c>
      <c r="J201" s="192" t="s">
        <v>602</v>
      </c>
      <c r="K201" s="192" t="s">
        <v>603</v>
      </c>
      <c r="L201" s="192" t="s">
        <v>604</v>
      </c>
      <c r="M201" s="192" t="s">
        <v>605</v>
      </c>
      <c r="N201" s="192"/>
      <c r="O201" s="192"/>
      <c r="P201" s="192" t="s">
        <v>704</v>
      </c>
      <c r="Q201" s="192" t="s">
        <v>751</v>
      </c>
      <c r="R201" s="192" t="s">
        <v>696</v>
      </c>
    </row>
    <row r="202" spans="1:18" ht="13.15" customHeight="1" x14ac:dyDescent="0.25">
      <c r="A202" s="192" t="s">
        <v>685</v>
      </c>
      <c r="B202" s="192" t="s">
        <v>34</v>
      </c>
      <c r="C202" s="192" t="s">
        <v>754</v>
      </c>
      <c r="D202" s="192">
        <v>294.69</v>
      </c>
      <c r="E202" s="192">
        <v>419.99</v>
      </c>
      <c r="F202" s="193"/>
      <c r="G202" s="193"/>
      <c r="H202" s="192" t="s">
        <v>755</v>
      </c>
      <c r="I202" s="192" t="s">
        <v>601</v>
      </c>
      <c r="J202" s="192" t="s">
        <v>602</v>
      </c>
      <c r="K202" s="192" t="s">
        <v>603</v>
      </c>
      <c r="L202" s="192" t="s">
        <v>604</v>
      </c>
      <c r="M202" s="192" t="s">
        <v>605</v>
      </c>
      <c r="N202" s="192"/>
      <c r="O202" s="192"/>
      <c r="P202" s="192" t="s">
        <v>704</v>
      </c>
      <c r="Q202" s="192" t="s">
        <v>751</v>
      </c>
      <c r="R202" s="192" t="s">
        <v>696</v>
      </c>
    </row>
    <row r="203" spans="1:18" ht="13.15" customHeight="1" x14ac:dyDescent="0.25">
      <c r="A203" s="192" t="s">
        <v>685</v>
      </c>
      <c r="B203" s="192" t="s">
        <v>28</v>
      </c>
      <c r="C203" s="192" t="s">
        <v>752</v>
      </c>
      <c r="D203" s="192">
        <v>449.87</v>
      </c>
      <c r="E203" s="192">
        <v>641.15</v>
      </c>
      <c r="F203" s="193"/>
      <c r="G203" s="193"/>
      <c r="H203" s="192" t="s">
        <v>753</v>
      </c>
      <c r="I203" s="192" t="s">
        <v>601</v>
      </c>
      <c r="J203" s="192" t="s">
        <v>602</v>
      </c>
      <c r="K203" s="192" t="s">
        <v>603</v>
      </c>
      <c r="L203" s="192" t="s">
        <v>604</v>
      </c>
      <c r="M203" s="192" t="s">
        <v>605</v>
      </c>
      <c r="N203" s="192"/>
      <c r="O203" s="192"/>
      <c r="P203" s="192" t="s">
        <v>704</v>
      </c>
      <c r="Q203" s="192" t="s">
        <v>751</v>
      </c>
      <c r="R203" s="192" t="s">
        <v>696</v>
      </c>
    </row>
    <row r="204" spans="1:18" ht="13.15" customHeight="1" x14ac:dyDescent="0.25">
      <c r="A204" s="192" t="s">
        <v>685</v>
      </c>
      <c r="B204" s="192" t="s">
        <v>32</v>
      </c>
      <c r="C204" s="192" t="s">
        <v>749</v>
      </c>
      <c r="D204" s="192">
        <v>445.69</v>
      </c>
      <c r="E204" s="192">
        <v>635.20000000000005</v>
      </c>
      <c r="F204" s="193"/>
      <c r="G204" s="193"/>
      <c r="H204" s="192" t="s">
        <v>750</v>
      </c>
      <c r="I204" s="192" t="s">
        <v>601</v>
      </c>
      <c r="J204" s="192" t="s">
        <v>602</v>
      </c>
      <c r="K204" s="192" t="s">
        <v>603</v>
      </c>
      <c r="L204" s="192" t="s">
        <v>604</v>
      </c>
      <c r="M204" s="192" t="s">
        <v>605</v>
      </c>
      <c r="N204" s="192"/>
      <c r="O204" s="192"/>
      <c r="P204" s="192" t="s">
        <v>704</v>
      </c>
      <c r="Q204" s="192" t="s">
        <v>751</v>
      </c>
      <c r="R204" s="192" t="s">
        <v>696</v>
      </c>
    </row>
    <row r="205" spans="1:18" ht="13.15" customHeight="1" x14ac:dyDescent="0.25">
      <c r="A205" s="192" t="s">
        <v>685</v>
      </c>
      <c r="B205" s="192" t="s">
        <v>747</v>
      </c>
      <c r="C205" s="192" t="s">
        <v>746</v>
      </c>
      <c r="D205" s="192"/>
      <c r="E205" s="192"/>
      <c r="F205" s="193"/>
      <c r="G205" s="193"/>
      <c r="H205" s="192" t="s">
        <v>748</v>
      </c>
      <c r="I205" s="192" t="s">
        <v>601</v>
      </c>
      <c r="J205" s="192" t="s">
        <v>602</v>
      </c>
      <c r="K205" s="192" t="s">
        <v>603</v>
      </c>
      <c r="L205" s="192" t="s">
        <v>604</v>
      </c>
      <c r="M205" s="192" t="s">
        <v>605</v>
      </c>
      <c r="N205" s="192"/>
      <c r="O205" s="192"/>
      <c r="P205" s="192"/>
      <c r="Q205" s="192"/>
      <c r="R205" s="192" t="s">
        <v>696</v>
      </c>
    </row>
    <row r="206" spans="1:18" ht="13.15" customHeight="1" x14ac:dyDescent="0.25">
      <c r="A206" s="192" t="s">
        <v>685</v>
      </c>
      <c r="B206" s="192" t="s">
        <v>23</v>
      </c>
      <c r="C206" s="192" t="s">
        <v>744</v>
      </c>
      <c r="D206" s="192">
        <v>1431.57</v>
      </c>
      <c r="E206" s="192">
        <v>2040.27</v>
      </c>
      <c r="F206" s="193"/>
      <c r="G206" s="193"/>
      <c r="H206" s="192" t="s">
        <v>745</v>
      </c>
      <c r="I206" s="192" t="s">
        <v>601</v>
      </c>
      <c r="J206" s="192" t="s">
        <v>602</v>
      </c>
      <c r="K206" s="192" t="s">
        <v>603</v>
      </c>
      <c r="L206" s="192" t="s">
        <v>695</v>
      </c>
      <c r="M206" s="192" t="s">
        <v>605</v>
      </c>
      <c r="N206" s="192"/>
      <c r="O206" s="192"/>
      <c r="P206" s="192"/>
      <c r="Q206" s="192" t="s">
        <v>743</v>
      </c>
      <c r="R206" s="192" t="s">
        <v>696</v>
      </c>
    </row>
    <row r="207" spans="1:18" ht="13.15" customHeight="1" x14ac:dyDescent="0.25">
      <c r="A207" s="192" t="s">
        <v>685</v>
      </c>
      <c r="B207" s="192" t="s">
        <v>359</v>
      </c>
      <c r="C207" s="192" t="s">
        <v>741</v>
      </c>
      <c r="D207" s="192">
        <v>1431.57</v>
      </c>
      <c r="E207" s="192">
        <v>2040.27</v>
      </c>
      <c r="F207" s="193"/>
      <c r="G207" s="193"/>
      <c r="H207" s="192" t="s">
        <v>742</v>
      </c>
      <c r="I207" s="192" t="s">
        <v>601</v>
      </c>
      <c r="J207" s="192" t="s">
        <v>602</v>
      </c>
      <c r="K207" s="192" t="s">
        <v>603</v>
      </c>
      <c r="L207" s="192" t="s">
        <v>695</v>
      </c>
      <c r="M207" s="192" t="s">
        <v>605</v>
      </c>
      <c r="N207" s="192"/>
      <c r="O207" s="192"/>
      <c r="P207" s="192"/>
      <c r="Q207" s="192" t="s">
        <v>743</v>
      </c>
      <c r="R207" s="192" t="s">
        <v>696</v>
      </c>
    </row>
    <row r="208" spans="1:18" ht="13.15" customHeight="1" x14ac:dyDescent="0.25">
      <c r="A208" s="192" t="s">
        <v>685</v>
      </c>
      <c r="B208" s="192" t="s">
        <v>352</v>
      </c>
      <c r="C208" s="192" t="s">
        <v>739</v>
      </c>
      <c r="D208" s="192">
        <v>1004.9</v>
      </c>
      <c r="E208" s="192">
        <v>1432.18</v>
      </c>
      <c r="F208" s="193"/>
      <c r="G208" s="193"/>
      <c r="H208" s="192" t="s">
        <v>740</v>
      </c>
      <c r="I208" s="192" t="s">
        <v>601</v>
      </c>
      <c r="J208" s="192" t="s">
        <v>602</v>
      </c>
      <c r="K208" s="192" t="s">
        <v>603</v>
      </c>
      <c r="L208" s="192" t="s">
        <v>604</v>
      </c>
      <c r="M208" s="192" t="s">
        <v>605</v>
      </c>
      <c r="N208" s="192" t="s">
        <v>728</v>
      </c>
      <c r="O208" s="192"/>
      <c r="P208" s="192" t="s">
        <v>704</v>
      </c>
      <c r="Q208" s="192" t="s">
        <v>734</v>
      </c>
      <c r="R208" s="192" t="s">
        <v>696</v>
      </c>
    </row>
    <row r="209" spans="1:18" ht="13.15" customHeight="1" x14ac:dyDescent="0.25">
      <c r="A209" s="192" t="s">
        <v>685</v>
      </c>
      <c r="B209" s="192" t="s">
        <v>356</v>
      </c>
      <c r="C209" s="192" t="s">
        <v>737</v>
      </c>
      <c r="D209" s="192">
        <v>1004.9</v>
      </c>
      <c r="E209" s="192">
        <v>1432.18</v>
      </c>
      <c r="F209" s="193"/>
      <c r="G209" s="193"/>
      <c r="H209" s="192" t="s">
        <v>738</v>
      </c>
      <c r="I209" s="192" t="s">
        <v>601</v>
      </c>
      <c r="J209" s="192" t="s">
        <v>602</v>
      </c>
      <c r="K209" s="192" t="s">
        <v>603</v>
      </c>
      <c r="L209" s="192" t="s">
        <v>604</v>
      </c>
      <c r="M209" s="192" t="s">
        <v>605</v>
      </c>
      <c r="N209" s="192" t="s">
        <v>728</v>
      </c>
      <c r="O209" s="192"/>
      <c r="P209" s="192"/>
      <c r="Q209" s="192"/>
      <c r="R209" s="192" t="s">
        <v>696</v>
      </c>
    </row>
    <row r="210" spans="1:18" ht="13.15" customHeight="1" x14ac:dyDescent="0.25">
      <c r="A210" s="192" t="s">
        <v>1536</v>
      </c>
      <c r="B210" s="192" t="s">
        <v>269</v>
      </c>
      <c r="C210" s="192" t="s">
        <v>1771</v>
      </c>
      <c r="D210" s="192">
        <v>5.52</v>
      </c>
      <c r="E210" s="192">
        <v>7.87</v>
      </c>
      <c r="F210" s="193"/>
      <c r="G210" s="193"/>
      <c r="H210" s="192" t="s">
        <v>1772</v>
      </c>
      <c r="I210" s="192" t="s">
        <v>601</v>
      </c>
      <c r="J210" s="192" t="s">
        <v>602</v>
      </c>
      <c r="K210" s="192" t="s">
        <v>603</v>
      </c>
      <c r="L210" s="192" t="s">
        <v>604</v>
      </c>
      <c r="M210" s="192" t="s">
        <v>605</v>
      </c>
      <c r="N210" s="192" t="s">
        <v>699</v>
      </c>
      <c r="O210" s="192"/>
      <c r="P210" s="192" t="s">
        <v>704</v>
      </c>
      <c r="Q210" s="192" t="s">
        <v>1013</v>
      </c>
      <c r="R210" s="192" t="s">
        <v>696</v>
      </c>
    </row>
    <row r="211" spans="1:18" ht="13.15" customHeight="1" x14ac:dyDescent="0.25">
      <c r="A211" s="192" t="s">
        <v>685</v>
      </c>
      <c r="B211" s="192" t="s">
        <v>361</v>
      </c>
      <c r="C211" s="192" t="s">
        <v>735</v>
      </c>
      <c r="D211" s="192">
        <v>3983.79</v>
      </c>
      <c r="E211" s="192">
        <v>5677.7</v>
      </c>
      <c r="F211" s="193"/>
      <c r="G211" s="193"/>
      <c r="H211" s="192" t="s">
        <v>736</v>
      </c>
      <c r="I211" s="192" t="s">
        <v>601</v>
      </c>
      <c r="J211" s="192" t="s">
        <v>602</v>
      </c>
      <c r="K211" s="192" t="s">
        <v>603</v>
      </c>
      <c r="L211" s="192" t="s">
        <v>695</v>
      </c>
      <c r="M211" s="192" t="s">
        <v>605</v>
      </c>
      <c r="N211" s="192"/>
      <c r="O211" s="192"/>
      <c r="P211" s="192"/>
      <c r="Q211" s="192"/>
      <c r="R211" s="192" t="s">
        <v>696</v>
      </c>
    </row>
    <row r="212" spans="1:18" ht="13.15" customHeight="1" x14ac:dyDescent="0.25">
      <c r="A212" s="192" t="s">
        <v>685</v>
      </c>
      <c r="B212" s="192" t="s">
        <v>25</v>
      </c>
      <c r="C212" s="192" t="s">
        <v>732</v>
      </c>
      <c r="D212" s="192">
        <v>2166.91</v>
      </c>
      <c r="E212" s="192">
        <v>3088.28</v>
      </c>
      <c r="F212" s="193"/>
      <c r="G212" s="193"/>
      <c r="H212" s="192" t="s">
        <v>733</v>
      </c>
      <c r="I212" s="192" t="s">
        <v>601</v>
      </c>
      <c r="J212" s="192" t="s">
        <v>602</v>
      </c>
      <c r="K212" s="192" t="s">
        <v>603</v>
      </c>
      <c r="L212" s="192" t="s">
        <v>604</v>
      </c>
      <c r="M212" s="192" t="s">
        <v>605</v>
      </c>
      <c r="N212" s="192" t="s">
        <v>728</v>
      </c>
      <c r="O212" s="192"/>
      <c r="P212" s="192" t="s">
        <v>704</v>
      </c>
      <c r="Q212" s="192" t="s">
        <v>734</v>
      </c>
      <c r="R212" s="192" t="s">
        <v>696</v>
      </c>
    </row>
    <row r="213" spans="1:18" ht="13.15" customHeight="1" x14ac:dyDescent="0.25">
      <c r="A213" s="192" t="s">
        <v>1536</v>
      </c>
      <c r="B213" s="192" t="s">
        <v>267</v>
      </c>
      <c r="C213" s="192" t="s">
        <v>1768</v>
      </c>
      <c r="D213" s="192">
        <v>5.52</v>
      </c>
      <c r="E213" s="192">
        <v>7.87</v>
      </c>
      <c r="F213" s="193"/>
      <c r="G213" s="193"/>
      <c r="H213" s="192" t="s">
        <v>1769</v>
      </c>
      <c r="I213" s="192" t="s">
        <v>601</v>
      </c>
      <c r="J213" s="192" t="s">
        <v>602</v>
      </c>
      <c r="K213" s="192" t="s">
        <v>603</v>
      </c>
      <c r="L213" s="192" t="s">
        <v>604</v>
      </c>
      <c r="M213" s="192" t="s">
        <v>605</v>
      </c>
      <c r="N213" s="192" t="s">
        <v>1770</v>
      </c>
      <c r="O213" s="192"/>
      <c r="P213" s="192" t="s">
        <v>704</v>
      </c>
      <c r="Q213" s="192" t="s">
        <v>1013</v>
      </c>
      <c r="R213" s="192" t="s">
        <v>696</v>
      </c>
    </row>
    <row r="214" spans="1:18" ht="13.15" customHeight="1" x14ac:dyDescent="0.25">
      <c r="A214" s="192" t="s">
        <v>685</v>
      </c>
      <c r="B214" s="192" t="s">
        <v>99</v>
      </c>
      <c r="C214" s="192" t="s">
        <v>730</v>
      </c>
      <c r="D214" s="192">
        <v>21.42</v>
      </c>
      <c r="E214" s="192">
        <v>30.53</v>
      </c>
      <c r="F214" s="193"/>
      <c r="G214" s="193"/>
      <c r="H214" s="192" t="s">
        <v>731</v>
      </c>
      <c r="I214" s="192" t="s">
        <v>601</v>
      </c>
      <c r="J214" s="192" t="s">
        <v>602</v>
      </c>
      <c r="K214" s="192" t="s">
        <v>603</v>
      </c>
      <c r="L214" s="192" t="s">
        <v>604</v>
      </c>
      <c r="M214" s="192" t="s">
        <v>605</v>
      </c>
      <c r="N214" s="192" t="s">
        <v>728</v>
      </c>
      <c r="O214" s="192"/>
      <c r="P214" s="192" t="s">
        <v>704</v>
      </c>
      <c r="Q214" s="192" t="s">
        <v>729</v>
      </c>
      <c r="R214" s="192" t="s">
        <v>696</v>
      </c>
    </row>
    <row r="215" spans="1:18" ht="13.15" customHeight="1" x14ac:dyDescent="0.25">
      <c r="A215" s="192" t="s">
        <v>685</v>
      </c>
      <c r="B215" s="192" t="s">
        <v>101</v>
      </c>
      <c r="C215" s="192" t="s">
        <v>726</v>
      </c>
      <c r="D215" s="192">
        <v>15.68</v>
      </c>
      <c r="E215" s="192">
        <v>22.35</v>
      </c>
      <c r="F215" s="193"/>
      <c r="G215" s="193"/>
      <c r="H215" s="192" t="s">
        <v>727</v>
      </c>
      <c r="I215" s="192" t="s">
        <v>601</v>
      </c>
      <c r="J215" s="192" t="s">
        <v>602</v>
      </c>
      <c r="K215" s="192" t="s">
        <v>603</v>
      </c>
      <c r="L215" s="192" t="s">
        <v>604</v>
      </c>
      <c r="M215" s="192" t="s">
        <v>605</v>
      </c>
      <c r="N215" s="192" t="s">
        <v>728</v>
      </c>
      <c r="O215" s="192"/>
      <c r="P215" s="192" t="s">
        <v>704</v>
      </c>
      <c r="Q215" s="192" t="s">
        <v>729</v>
      </c>
      <c r="R215" s="192" t="s">
        <v>696</v>
      </c>
    </row>
    <row r="216" spans="1:18" ht="13.15" customHeight="1" x14ac:dyDescent="0.25">
      <c r="A216" s="192" t="s">
        <v>685</v>
      </c>
      <c r="B216" s="192" t="s">
        <v>348</v>
      </c>
      <c r="C216" s="192" t="s">
        <v>724</v>
      </c>
      <c r="D216" s="192">
        <v>1456.37</v>
      </c>
      <c r="E216" s="192">
        <v>2075.62</v>
      </c>
      <c r="F216" s="193"/>
      <c r="G216" s="193"/>
      <c r="H216" s="192" t="s">
        <v>725</v>
      </c>
      <c r="I216" s="192" t="s">
        <v>601</v>
      </c>
      <c r="J216" s="192" t="s">
        <v>602</v>
      </c>
      <c r="K216" s="192" t="s">
        <v>603</v>
      </c>
      <c r="L216" s="192" t="s">
        <v>604</v>
      </c>
      <c r="M216" s="192" t="s">
        <v>605</v>
      </c>
      <c r="N216" s="192"/>
      <c r="O216" s="192"/>
      <c r="P216" s="192"/>
      <c r="Q216" s="192"/>
      <c r="R216" s="192" t="s">
        <v>696</v>
      </c>
    </row>
    <row r="217" spans="1:18" ht="13.15" customHeight="1" x14ac:dyDescent="0.25">
      <c r="A217" s="192" t="s">
        <v>685</v>
      </c>
      <c r="B217" s="192" t="s">
        <v>722</v>
      </c>
      <c r="C217" s="192" t="s">
        <v>721</v>
      </c>
      <c r="D217" s="192">
        <v>737.56</v>
      </c>
      <c r="E217" s="192">
        <v>1051.17</v>
      </c>
      <c r="F217" s="193"/>
      <c r="G217" s="193"/>
      <c r="H217" s="192" t="s">
        <v>723</v>
      </c>
      <c r="I217" s="192" t="s">
        <v>601</v>
      </c>
      <c r="J217" s="192" t="s">
        <v>602</v>
      </c>
      <c r="K217" s="192" t="s">
        <v>603</v>
      </c>
      <c r="L217" s="192" t="s">
        <v>695</v>
      </c>
      <c r="M217" s="192" t="s">
        <v>605</v>
      </c>
      <c r="N217" s="192"/>
      <c r="O217" s="192"/>
      <c r="P217" s="192"/>
      <c r="Q217" s="192"/>
      <c r="R217" s="192" t="s">
        <v>696</v>
      </c>
    </row>
    <row r="218" spans="1:18" ht="13.15" customHeight="1" x14ac:dyDescent="0.25">
      <c r="A218" s="192" t="s">
        <v>685</v>
      </c>
      <c r="B218" s="192" t="s">
        <v>555</v>
      </c>
      <c r="C218" s="192" t="s">
        <v>719</v>
      </c>
      <c r="D218" s="192">
        <v>415.64</v>
      </c>
      <c r="E218" s="192">
        <v>592.37</v>
      </c>
      <c r="F218" s="193"/>
      <c r="G218" s="193"/>
      <c r="H218" s="192" t="s">
        <v>720</v>
      </c>
      <c r="I218" s="192" t="s">
        <v>601</v>
      </c>
      <c r="J218" s="192" t="s">
        <v>602</v>
      </c>
      <c r="K218" s="192" t="s">
        <v>603</v>
      </c>
      <c r="L218" s="192" t="s">
        <v>695</v>
      </c>
      <c r="M218" s="192" t="s">
        <v>605</v>
      </c>
      <c r="N218" s="192" t="s">
        <v>616</v>
      </c>
      <c r="O218" s="192"/>
      <c r="P218" s="192"/>
      <c r="Q218" s="192"/>
      <c r="R218" s="192" t="s">
        <v>696</v>
      </c>
    </row>
    <row r="219" spans="1:18" ht="13.15" customHeight="1" x14ac:dyDescent="0.25">
      <c r="A219" s="192" t="s">
        <v>685</v>
      </c>
      <c r="B219" s="192" t="s">
        <v>384</v>
      </c>
      <c r="C219" s="192" t="s">
        <v>717</v>
      </c>
      <c r="D219" s="192">
        <v>1666.39</v>
      </c>
      <c r="E219" s="192">
        <v>2374.94</v>
      </c>
      <c r="F219" s="193"/>
      <c r="G219" s="193"/>
      <c r="H219" s="192" t="s">
        <v>718</v>
      </c>
      <c r="I219" s="192" t="s">
        <v>601</v>
      </c>
      <c r="J219" s="192" t="s">
        <v>602</v>
      </c>
      <c r="K219" s="192" t="s">
        <v>603</v>
      </c>
      <c r="L219" s="192" t="s">
        <v>695</v>
      </c>
      <c r="M219" s="192" t="s">
        <v>605</v>
      </c>
      <c r="N219" s="192" t="s">
        <v>616</v>
      </c>
      <c r="O219" s="192"/>
      <c r="P219" s="192"/>
      <c r="Q219" s="192"/>
      <c r="R219" s="192" t="s">
        <v>696</v>
      </c>
    </row>
    <row r="220" spans="1:18" ht="13.15" customHeight="1" x14ac:dyDescent="0.25">
      <c r="A220" s="192" t="s">
        <v>685</v>
      </c>
      <c r="B220" s="192" t="s">
        <v>379</v>
      </c>
      <c r="C220" s="192" t="s">
        <v>715</v>
      </c>
      <c r="D220" s="192">
        <v>972.94</v>
      </c>
      <c r="E220" s="192">
        <v>1386.63</v>
      </c>
      <c r="F220" s="193"/>
      <c r="G220" s="193"/>
      <c r="H220" s="192" t="s">
        <v>716</v>
      </c>
      <c r="I220" s="192" t="s">
        <v>601</v>
      </c>
      <c r="J220" s="192" t="s">
        <v>602</v>
      </c>
      <c r="K220" s="192" t="s">
        <v>603</v>
      </c>
      <c r="L220" s="192" t="s">
        <v>708</v>
      </c>
      <c r="M220" s="192" t="s">
        <v>605</v>
      </c>
      <c r="N220" s="192" t="s">
        <v>616</v>
      </c>
      <c r="O220" s="192"/>
      <c r="P220" s="192"/>
      <c r="Q220" s="192"/>
      <c r="R220" s="192" t="s">
        <v>696</v>
      </c>
    </row>
    <row r="221" spans="1:18" ht="13.15" customHeight="1" x14ac:dyDescent="0.25">
      <c r="A221" s="192" t="s">
        <v>685</v>
      </c>
      <c r="B221" s="192" t="s">
        <v>371</v>
      </c>
      <c r="C221" s="192" t="s">
        <v>713</v>
      </c>
      <c r="D221" s="192">
        <v>2421.04</v>
      </c>
      <c r="E221" s="192">
        <v>3450.47</v>
      </c>
      <c r="F221" s="193"/>
      <c r="G221" s="193"/>
      <c r="H221" s="192" t="s">
        <v>714</v>
      </c>
      <c r="I221" s="192" t="s">
        <v>601</v>
      </c>
      <c r="J221" s="192" t="s">
        <v>602</v>
      </c>
      <c r="K221" s="192" t="s">
        <v>603</v>
      </c>
      <c r="L221" s="192" t="s">
        <v>695</v>
      </c>
      <c r="M221" s="192" t="s">
        <v>605</v>
      </c>
      <c r="N221" s="192"/>
      <c r="O221" s="192"/>
      <c r="P221" s="192"/>
      <c r="Q221" s="192"/>
      <c r="R221" s="192" t="s">
        <v>696</v>
      </c>
    </row>
    <row r="222" spans="1:18" ht="13.15" customHeight="1" x14ac:dyDescent="0.25">
      <c r="A222" s="192" t="s">
        <v>685</v>
      </c>
      <c r="B222" s="192" t="s">
        <v>365</v>
      </c>
      <c r="C222" s="192" t="s">
        <v>711</v>
      </c>
      <c r="D222" s="192">
        <v>3867.48</v>
      </c>
      <c r="E222" s="192">
        <v>5511.93</v>
      </c>
      <c r="F222" s="193"/>
      <c r="G222" s="193"/>
      <c r="H222" s="192" t="s">
        <v>712</v>
      </c>
      <c r="I222" s="192" t="s">
        <v>601</v>
      </c>
      <c r="J222" s="192" t="s">
        <v>602</v>
      </c>
      <c r="K222" s="192" t="s">
        <v>603</v>
      </c>
      <c r="L222" s="192" t="s">
        <v>695</v>
      </c>
      <c r="M222" s="192" t="s">
        <v>605</v>
      </c>
      <c r="N222" s="192"/>
      <c r="O222" s="192"/>
      <c r="P222" s="192"/>
      <c r="Q222" s="192"/>
      <c r="R222" s="192" t="s">
        <v>696</v>
      </c>
    </row>
    <row r="223" spans="1:18" ht="13.15" customHeight="1" x14ac:dyDescent="0.25">
      <c r="A223" s="192" t="s">
        <v>685</v>
      </c>
      <c r="B223" s="192" t="s">
        <v>20</v>
      </c>
      <c r="C223" s="192" t="s">
        <v>709</v>
      </c>
      <c r="D223" s="192">
        <v>1537.96</v>
      </c>
      <c r="E223" s="192">
        <v>2191.9</v>
      </c>
      <c r="F223" s="193"/>
      <c r="G223" s="193"/>
      <c r="H223" s="192" t="s">
        <v>710</v>
      </c>
      <c r="I223" s="192" t="s">
        <v>601</v>
      </c>
      <c r="J223" s="192" t="s">
        <v>602</v>
      </c>
      <c r="K223" s="192" t="s">
        <v>603</v>
      </c>
      <c r="L223" s="192" t="s">
        <v>695</v>
      </c>
      <c r="M223" s="192" t="s">
        <v>605</v>
      </c>
      <c r="N223" s="192"/>
      <c r="O223" s="192"/>
      <c r="P223" s="192" t="s">
        <v>704</v>
      </c>
      <c r="Q223" s="192" t="s">
        <v>705</v>
      </c>
      <c r="R223" s="192" t="s">
        <v>696</v>
      </c>
    </row>
    <row r="224" spans="1:18" ht="13.15" customHeight="1" x14ac:dyDescent="0.25">
      <c r="A224" s="192" t="s">
        <v>685</v>
      </c>
      <c r="B224" s="192" t="s">
        <v>345</v>
      </c>
      <c r="C224" s="192" t="s">
        <v>706</v>
      </c>
      <c r="D224" s="192">
        <v>1456.37</v>
      </c>
      <c r="E224" s="192">
        <v>2075.62</v>
      </c>
      <c r="F224" s="193"/>
      <c r="G224" s="193"/>
      <c r="H224" s="192" t="s">
        <v>707</v>
      </c>
      <c r="I224" s="192" t="s">
        <v>601</v>
      </c>
      <c r="J224" s="192" t="s">
        <v>602</v>
      </c>
      <c r="K224" s="192" t="s">
        <v>603</v>
      </c>
      <c r="L224" s="192" t="s">
        <v>708</v>
      </c>
      <c r="M224" s="192" t="s">
        <v>605</v>
      </c>
      <c r="N224" s="192" t="s">
        <v>699</v>
      </c>
      <c r="O224" s="192"/>
      <c r="P224" s="192"/>
      <c r="Q224" s="192"/>
      <c r="R224" s="192" t="s">
        <v>696</v>
      </c>
    </row>
    <row r="225" spans="1:18" ht="13.15" customHeight="1" x14ac:dyDescent="0.25">
      <c r="A225" s="192" t="s">
        <v>685</v>
      </c>
      <c r="B225" s="192" t="s">
        <v>18</v>
      </c>
      <c r="C225" s="192" t="s">
        <v>702</v>
      </c>
      <c r="D225" s="192">
        <v>1497.16</v>
      </c>
      <c r="E225" s="192">
        <v>2133.75</v>
      </c>
      <c r="F225" s="193"/>
      <c r="G225" s="193"/>
      <c r="H225" s="192" t="s">
        <v>703</v>
      </c>
      <c r="I225" s="192" t="s">
        <v>601</v>
      </c>
      <c r="J225" s="192" t="s">
        <v>602</v>
      </c>
      <c r="K225" s="192" t="s">
        <v>603</v>
      </c>
      <c r="L225" s="192" t="s">
        <v>604</v>
      </c>
      <c r="M225" s="192" t="s">
        <v>605</v>
      </c>
      <c r="N225" s="192" t="s">
        <v>699</v>
      </c>
      <c r="O225" s="192"/>
      <c r="P225" s="192" t="s">
        <v>704</v>
      </c>
      <c r="Q225" s="192" t="s">
        <v>705</v>
      </c>
      <c r="R225" s="192" t="s">
        <v>696</v>
      </c>
    </row>
    <row r="226" spans="1:18" ht="13.15" customHeight="1" x14ac:dyDescent="0.25">
      <c r="A226" s="192" t="s">
        <v>685</v>
      </c>
      <c r="B226" s="192" t="s">
        <v>367</v>
      </c>
      <c r="C226" s="192" t="s">
        <v>700</v>
      </c>
      <c r="D226" s="192">
        <v>1004.9</v>
      </c>
      <c r="E226" s="192">
        <v>1432.18</v>
      </c>
      <c r="F226" s="193"/>
      <c r="G226" s="193"/>
      <c r="H226" s="192" t="s">
        <v>701</v>
      </c>
      <c r="I226" s="192" t="s">
        <v>601</v>
      </c>
      <c r="J226" s="192" t="s">
        <v>602</v>
      </c>
      <c r="K226" s="192" t="s">
        <v>603</v>
      </c>
      <c r="L226" s="192" t="s">
        <v>604</v>
      </c>
      <c r="M226" s="192" t="s">
        <v>605</v>
      </c>
      <c r="N226" s="192" t="s">
        <v>699</v>
      </c>
      <c r="O226" s="192"/>
      <c r="P226" s="192"/>
      <c r="Q226" s="192"/>
      <c r="R226" s="192" t="s">
        <v>696</v>
      </c>
    </row>
    <row r="227" spans="1:18" ht="13.15" customHeight="1" x14ac:dyDescent="0.25">
      <c r="A227" s="192" t="s">
        <v>685</v>
      </c>
      <c r="B227" s="192" t="s">
        <v>370</v>
      </c>
      <c r="C227" s="192" t="s">
        <v>697</v>
      </c>
      <c r="D227" s="192">
        <v>1004.9</v>
      </c>
      <c r="E227" s="192">
        <v>1432.18</v>
      </c>
      <c r="F227" s="193"/>
      <c r="G227" s="193"/>
      <c r="H227" s="192" t="s">
        <v>698</v>
      </c>
      <c r="I227" s="192" t="s">
        <v>601</v>
      </c>
      <c r="J227" s="192" t="s">
        <v>602</v>
      </c>
      <c r="K227" s="192" t="s">
        <v>603</v>
      </c>
      <c r="L227" s="192" t="s">
        <v>604</v>
      </c>
      <c r="M227" s="192" t="s">
        <v>605</v>
      </c>
      <c r="N227" s="192" t="s">
        <v>699</v>
      </c>
      <c r="O227" s="192"/>
      <c r="P227" s="192"/>
      <c r="Q227" s="192"/>
      <c r="R227" s="192" t="s">
        <v>696</v>
      </c>
    </row>
    <row r="228" spans="1:18" ht="13.15" customHeight="1" x14ac:dyDescent="0.25">
      <c r="A228" s="192" t="s">
        <v>1536</v>
      </c>
      <c r="B228" s="192" t="s">
        <v>271</v>
      </c>
      <c r="C228" s="192" t="s">
        <v>1766</v>
      </c>
      <c r="D228" s="192">
        <v>5.52</v>
      </c>
      <c r="E228" s="192">
        <v>7.87</v>
      </c>
      <c r="F228" s="193"/>
      <c r="G228" s="193"/>
      <c r="H228" s="192" t="s">
        <v>1767</v>
      </c>
      <c r="I228" s="192" t="s">
        <v>601</v>
      </c>
      <c r="J228" s="192" t="s">
        <v>602</v>
      </c>
      <c r="K228" s="192" t="s">
        <v>603</v>
      </c>
      <c r="L228" s="192" t="s">
        <v>604</v>
      </c>
      <c r="M228" s="192" t="s">
        <v>605</v>
      </c>
      <c r="N228" s="192" t="s">
        <v>616</v>
      </c>
      <c r="O228" s="192"/>
      <c r="P228" s="192" t="s">
        <v>704</v>
      </c>
      <c r="Q228" s="192" t="s">
        <v>1013</v>
      </c>
      <c r="R228" s="192" t="s">
        <v>696</v>
      </c>
    </row>
    <row r="229" spans="1:18" ht="13.15" customHeight="1" x14ac:dyDescent="0.25">
      <c r="A229" s="192" t="s">
        <v>685</v>
      </c>
      <c r="B229" s="192" t="s">
        <v>390</v>
      </c>
      <c r="C229" s="192" t="s">
        <v>693</v>
      </c>
      <c r="D229" s="192">
        <v>737.56</v>
      </c>
      <c r="E229" s="192">
        <v>1051.17</v>
      </c>
      <c r="F229" s="193"/>
      <c r="G229" s="193"/>
      <c r="H229" s="192" t="s">
        <v>694</v>
      </c>
      <c r="I229" s="192" t="s">
        <v>601</v>
      </c>
      <c r="J229" s="192" t="s">
        <v>602</v>
      </c>
      <c r="K229" s="192" t="s">
        <v>603</v>
      </c>
      <c r="L229" s="192" t="s">
        <v>695</v>
      </c>
      <c r="M229" s="192" t="s">
        <v>605</v>
      </c>
      <c r="N229" s="192"/>
      <c r="O229" s="192"/>
      <c r="P229" s="192"/>
      <c r="Q229" s="192"/>
      <c r="R229" s="192" t="s">
        <v>696</v>
      </c>
    </row>
    <row r="230" spans="1:18" ht="13.15" customHeight="1" x14ac:dyDescent="0.25">
      <c r="A230" s="192" t="s">
        <v>685</v>
      </c>
      <c r="B230" s="192" t="s">
        <v>545</v>
      </c>
      <c r="C230" s="192" t="s">
        <v>691</v>
      </c>
      <c r="D230" s="192">
        <v>737.56</v>
      </c>
      <c r="E230" s="192">
        <v>1051.17</v>
      </c>
      <c r="F230" s="193"/>
      <c r="G230" s="193"/>
      <c r="H230" s="192" t="s">
        <v>692</v>
      </c>
      <c r="I230" s="192" t="s">
        <v>601</v>
      </c>
      <c r="J230" s="192" t="s">
        <v>602</v>
      </c>
      <c r="K230" s="192" t="s">
        <v>603</v>
      </c>
      <c r="L230" s="192" t="s">
        <v>604</v>
      </c>
      <c r="M230" s="192" t="s">
        <v>605</v>
      </c>
      <c r="N230" s="192"/>
      <c r="O230" s="192"/>
      <c r="P230" s="192"/>
      <c r="Q230" s="192"/>
      <c r="R230" s="192" t="s">
        <v>688</v>
      </c>
    </row>
    <row r="231" spans="1:18" ht="13.15" customHeight="1" x14ac:dyDescent="0.25">
      <c r="A231" s="192" t="s">
        <v>685</v>
      </c>
      <c r="B231" s="192" t="s">
        <v>552</v>
      </c>
      <c r="C231" s="192" t="s">
        <v>689</v>
      </c>
      <c r="D231" s="192">
        <v>596.44000000000005</v>
      </c>
      <c r="E231" s="192">
        <v>850.05</v>
      </c>
      <c r="F231" s="193"/>
      <c r="G231" s="193"/>
      <c r="H231" s="192" t="s">
        <v>690</v>
      </c>
      <c r="I231" s="192" t="s">
        <v>601</v>
      </c>
      <c r="J231" s="192" t="s">
        <v>602</v>
      </c>
      <c r="K231" s="192" t="s">
        <v>603</v>
      </c>
      <c r="L231" s="192" t="s">
        <v>604</v>
      </c>
      <c r="M231" s="192" t="s">
        <v>605</v>
      </c>
      <c r="N231" s="192"/>
      <c r="O231" s="192"/>
      <c r="P231" s="192"/>
      <c r="Q231" s="192"/>
      <c r="R231" s="192" t="s">
        <v>688</v>
      </c>
    </row>
    <row r="232" spans="1:18" ht="13.15" customHeight="1" x14ac:dyDescent="0.25">
      <c r="A232" s="192" t="s">
        <v>685</v>
      </c>
      <c r="B232" s="192" t="s">
        <v>551</v>
      </c>
      <c r="C232" s="192" t="s">
        <v>686</v>
      </c>
      <c r="D232" s="192">
        <v>596.44000000000005</v>
      </c>
      <c r="E232" s="192">
        <v>850.05</v>
      </c>
      <c r="F232" s="193"/>
      <c r="G232" s="193"/>
      <c r="H232" s="192" t="s">
        <v>687</v>
      </c>
      <c r="I232" s="192" t="s">
        <v>601</v>
      </c>
      <c r="J232" s="192" t="s">
        <v>602</v>
      </c>
      <c r="K232" s="192" t="s">
        <v>603</v>
      </c>
      <c r="L232" s="192" t="s">
        <v>604</v>
      </c>
      <c r="M232" s="192" t="s">
        <v>605</v>
      </c>
      <c r="N232" s="192"/>
      <c r="O232" s="192"/>
      <c r="P232" s="192"/>
      <c r="Q232" s="192"/>
      <c r="R232" s="192" t="s">
        <v>688</v>
      </c>
    </row>
    <row r="233" spans="1:18" ht="13.15" customHeight="1" x14ac:dyDescent="0.25">
      <c r="A233" s="192" t="s">
        <v>1536</v>
      </c>
      <c r="B233" s="192" t="s">
        <v>1764</v>
      </c>
      <c r="C233" s="192" t="s">
        <v>1763</v>
      </c>
      <c r="D233" s="192"/>
      <c r="E233" s="192"/>
      <c r="F233" s="193"/>
      <c r="G233" s="193"/>
      <c r="H233" s="192" t="s">
        <v>1765</v>
      </c>
      <c r="I233" s="192" t="s">
        <v>601</v>
      </c>
      <c r="J233" s="192" t="s">
        <v>602</v>
      </c>
      <c r="K233" s="192" t="s">
        <v>1002</v>
      </c>
      <c r="L233" s="192" t="s">
        <v>604</v>
      </c>
      <c r="M233" s="192" t="s">
        <v>605</v>
      </c>
      <c r="N233" s="192" t="s">
        <v>641</v>
      </c>
      <c r="O233" s="192"/>
      <c r="P233" s="192"/>
      <c r="Q233" s="192"/>
      <c r="R233" s="192" t="s">
        <v>847</v>
      </c>
    </row>
    <row r="234" spans="1:18" ht="13.15" customHeight="1" x14ac:dyDescent="0.25">
      <c r="A234" s="192" t="s">
        <v>1536</v>
      </c>
      <c r="B234" s="192" t="s">
        <v>1761</v>
      </c>
      <c r="C234" s="192" t="s">
        <v>1760</v>
      </c>
      <c r="D234" s="192"/>
      <c r="E234" s="192"/>
      <c r="F234" s="193"/>
      <c r="G234" s="193"/>
      <c r="H234" s="192" t="s">
        <v>1762</v>
      </c>
      <c r="I234" s="192" t="s">
        <v>601</v>
      </c>
      <c r="J234" s="192" t="s">
        <v>602</v>
      </c>
      <c r="K234" s="192" t="s">
        <v>603</v>
      </c>
      <c r="L234" s="192" t="s">
        <v>604</v>
      </c>
      <c r="M234" s="192" t="s">
        <v>605</v>
      </c>
      <c r="N234" s="192" t="s">
        <v>1555</v>
      </c>
      <c r="O234" s="192"/>
      <c r="P234" s="192"/>
      <c r="Q234" s="192"/>
      <c r="R234" s="192" t="s">
        <v>649</v>
      </c>
    </row>
    <row r="235" spans="1:18" ht="13.15" customHeight="1" x14ac:dyDescent="0.25">
      <c r="A235" s="192" t="s">
        <v>1536</v>
      </c>
      <c r="B235" s="192" t="s">
        <v>1758</v>
      </c>
      <c r="C235" s="192" t="s">
        <v>1757</v>
      </c>
      <c r="D235" s="192"/>
      <c r="E235" s="192"/>
      <c r="F235" s="193"/>
      <c r="G235" s="193"/>
      <c r="H235" s="192" t="s">
        <v>1759</v>
      </c>
      <c r="I235" s="192" t="s">
        <v>601</v>
      </c>
      <c r="J235" s="192" t="s">
        <v>602</v>
      </c>
      <c r="K235" s="192" t="s">
        <v>603</v>
      </c>
      <c r="L235" s="192" t="s">
        <v>708</v>
      </c>
      <c r="M235" s="192" t="s">
        <v>605</v>
      </c>
      <c r="N235" s="192" t="s">
        <v>1555</v>
      </c>
      <c r="O235" s="192"/>
      <c r="P235" s="192"/>
      <c r="Q235" s="192"/>
      <c r="R235" s="192" t="s">
        <v>847</v>
      </c>
    </row>
    <row r="236" spans="1:18" ht="13.15" customHeight="1" x14ac:dyDescent="0.25">
      <c r="A236" s="192" t="s">
        <v>833</v>
      </c>
      <c r="B236" s="192" t="s">
        <v>153</v>
      </c>
      <c r="C236" s="192" t="s">
        <v>997</v>
      </c>
      <c r="D236" s="192">
        <v>2902.82</v>
      </c>
      <c r="E236" s="192">
        <v>4137.1000000000004</v>
      </c>
      <c r="F236" s="193"/>
      <c r="G236" s="193"/>
      <c r="H236" s="192" t="s">
        <v>998</v>
      </c>
      <c r="I236" s="192" t="s">
        <v>601</v>
      </c>
      <c r="J236" s="192" t="s">
        <v>602</v>
      </c>
      <c r="K236" s="192" t="s">
        <v>603</v>
      </c>
      <c r="L236" s="192" t="s">
        <v>604</v>
      </c>
      <c r="M236" s="192" t="s">
        <v>605</v>
      </c>
      <c r="N236" s="192" t="s">
        <v>985</v>
      </c>
      <c r="O236" s="192"/>
      <c r="P236" s="192" t="s">
        <v>704</v>
      </c>
      <c r="Q236" s="192" t="s">
        <v>982</v>
      </c>
      <c r="R236" s="192" t="s">
        <v>847</v>
      </c>
    </row>
    <row r="237" spans="1:18" ht="13.15" customHeight="1" x14ac:dyDescent="0.25">
      <c r="A237" s="192" t="s">
        <v>833</v>
      </c>
      <c r="B237" s="192" t="s">
        <v>540</v>
      </c>
      <c r="C237" s="192" t="s">
        <v>995</v>
      </c>
      <c r="D237" s="192">
        <v>28287.3</v>
      </c>
      <c r="E237" s="192">
        <v>40315.06</v>
      </c>
      <c r="F237" s="193"/>
      <c r="G237" s="193"/>
      <c r="H237" s="192" t="s">
        <v>996</v>
      </c>
      <c r="I237" s="192" t="s">
        <v>601</v>
      </c>
      <c r="J237" s="192" t="s">
        <v>602</v>
      </c>
      <c r="K237" s="192" t="s">
        <v>603</v>
      </c>
      <c r="L237" s="192" t="s">
        <v>604</v>
      </c>
      <c r="M237" s="192" t="s">
        <v>605</v>
      </c>
      <c r="N237" s="192" t="s">
        <v>985</v>
      </c>
      <c r="O237" s="192"/>
      <c r="P237" s="192"/>
      <c r="Q237" s="192"/>
      <c r="R237" s="192" t="s">
        <v>847</v>
      </c>
    </row>
    <row r="238" spans="1:18" ht="13.15" customHeight="1" x14ac:dyDescent="0.25">
      <c r="A238" s="192" t="s">
        <v>833</v>
      </c>
      <c r="B238" s="194"/>
      <c r="C238" s="192" t="s">
        <v>993</v>
      </c>
      <c r="D238" s="192"/>
      <c r="E238" s="192"/>
      <c r="F238" s="193"/>
      <c r="G238" s="193"/>
      <c r="H238" s="192" t="s">
        <v>994</v>
      </c>
      <c r="I238" s="192" t="s">
        <v>601</v>
      </c>
      <c r="J238" s="192" t="s">
        <v>602</v>
      </c>
      <c r="K238" s="192" t="s">
        <v>603</v>
      </c>
      <c r="L238" s="192" t="s">
        <v>604</v>
      </c>
      <c r="M238" s="192" t="s">
        <v>605</v>
      </c>
      <c r="N238" s="192" t="s">
        <v>985</v>
      </c>
      <c r="O238" s="192"/>
      <c r="P238" s="192"/>
      <c r="Q238" s="192"/>
      <c r="R238" s="192" t="s">
        <v>847</v>
      </c>
    </row>
    <row r="239" spans="1:18" ht="13.15" customHeight="1" x14ac:dyDescent="0.25">
      <c r="A239" s="192" t="s">
        <v>833</v>
      </c>
      <c r="B239" s="192" t="s">
        <v>463</v>
      </c>
      <c r="C239" s="192" t="s">
        <v>991</v>
      </c>
      <c r="D239" s="192">
        <v>20114.11</v>
      </c>
      <c r="E239" s="192">
        <v>28666.63</v>
      </c>
      <c r="F239" s="193"/>
      <c r="G239" s="193"/>
      <c r="H239" s="192" t="s">
        <v>992</v>
      </c>
      <c r="I239" s="192" t="s">
        <v>601</v>
      </c>
      <c r="J239" s="192" t="s">
        <v>602</v>
      </c>
      <c r="K239" s="192" t="s">
        <v>603</v>
      </c>
      <c r="L239" s="192" t="s">
        <v>604</v>
      </c>
      <c r="M239" s="192" t="s">
        <v>605</v>
      </c>
      <c r="N239" s="192" t="s">
        <v>985</v>
      </c>
      <c r="O239" s="192"/>
      <c r="P239" s="192"/>
      <c r="Q239" s="192"/>
      <c r="R239" s="192" t="s">
        <v>847</v>
      </c>
    </row>
    <row r="240" spans="1:18" ht="13.15" customHeight="1" x14ac:dyDescent="0.25">
      <c r="A240" s="192" t="s">
        <v>833</v>
      </c>
      <c r="B240" s="192" t="s">
        <v>537</v>
      </c>
      <c r="C240" s="192" t="s">
        <v>989</v>
      </c>
      <c r="D240" s="192">
        <v>28284</v>
      </c>
      <c r="E240" s="192">
        <v>40310.36</v>
      </c>
      <c r="F240" s="193"/>
      <c r="G240" s="193"/>
      <c r="H240" s="192" t="s">
        <v>990</v>
      </c>
      <c r="I240" s="192" t="s">
        <v>601</v>
      </c>
      <c r="J240" s="192" t="s">
        <v>602</v>
      </c>
      <c r="K240" s="192" t="s">
        <v>603</v>
      </c>
      <c r="L240" s="192" t="s">
        <v>604</v>
      </c>
      <c r="M240" s="192" t="s">
        <v>605</v>
      </c>
      <c r="N240" s="192" t="s">
        <v>985</v>
      </c>
      <c r="O240" s="192"/>
      <c r="P240" s="192"/>
      <c r="Q240" s="192"/>
      <c r="R240" s="192" t="s">
        <v>847</v>
      </c>
    </row>
    <row r="241" spans="1:18" ht="13.15" customHeight="1" x14ac:dyDescent="0.25">
      <c r="A241" s="192" t="s">
        <v>833</v>
      </c>
      <c r="B241" s="192" t="s">
        <v>129</v>
      </c>
      <c r="C241" s="192" t="s">
        <v>986</v>
      </c>
      <c r="D241" s="192">
        <v>20952.25</v>
      </c>
      <c r="E241" s="192">
        <v>29861.15</v>
      </c>
      <c r="F241" s="193"/>
      <c r="G241" s="193"/>
      <c r="H241" s="192" t="s">
        <v>987</v>
      </c>
      <c r="I241" s="192" t="s">
        <v>601</v>
      </c>
      <c r="J241" s="192" t="s">
        <v>602</v>
      </c>
      <c r="K241" s="192" t="s">
        <v>603</v>
      </c>
      <c r="L241" s="192" t="s">
        <v>604</v>
      </c>
      <c r="M241" s="192" t="s">
        <v>605</v>
      </c>
      <c r="N241" s="192" t="s">
        <v>985</v>
      </c>
      <c r="O241" s="192"/>
      <c r="P241" s="192" t="s">
        <v>704</v>
      </c>
      <c r="Q241" s="192" t="s">
        <v>988</v>
      </c>
      <c r="R241" s="192" t="s">
        <v>847</v>
      </c>
    </row>
    <row r="242" spans="1:18" ht="13.15" customHeight="1" x14ac:dyDescent="0.25">
      <c r="A242" s="192" t="s">
        <v>833</v>
      </c>
      <c r="B242" s="192" t="s">
        <v>466</v>
      </c>
      <c r="C242" s="192" t="s">
        <v>983</v>
      </c>
      <c r="D242" s="192">
        <v>20114.11</v>
      </c>
      <c r="E242" s="192">
        <v>28666.63</v>
      </c>
      <c r="F242" s="193"/>
      <c r="G242" s="193"/>
      <c r="H242" s="192" t="s">
        <v>984</v>
      </c>
      <c r="I242" s="192" t="s">
        <v>601</v>
      </c>
      <c r="J242" s="192" t="s">
        <v>602</v>
      </c>
      <c r="K242" s="192" t="s">
        <v>603</v>
      </c>
      <c r="L242" s="192" t="s">
        <v>604</v>
      </c>
      <c r="M242" s="192" t="s">
        <v>605</v>
      </c>
      <c r="N242" s="192" t="s">
        <v>985</v>
      </c>
      <c r="O242" s="192"/>
      <c r="P242" s="192"/>
      <c r="Q242" s="192"/>
      <c r="R242" s="192" t="s">
        <v>847</v>
      </c>
    </row>
    <row r="243" spans="1:18" ht="13.15" customHeight="1" x14ac:dyDescent="0.25">
      <c r="A243" s="192" t="s">
        <v>833</v>
      </c>
      <c r="B243" s="192" t="s">
        <v>151</v>
      </c>
      <c r="C243" s="192" t="s">
        <v>980</v>
      </c>
      <c r="D243" s="192">
        <v>2145.42</v>
      </c>
      <c r="E243" s="192">
        <v>3057.65</v>
      </c>
      <c r="F243" s="193"/>
      <c r="G243" s="193"/>
      <c r="H243" s="192" t="s">
        <v>981</v>
      </c>
      <c r="I243" s="192" t="s">
        <v>601</v>
      </c>
      <c r="J243" s="192" t="s">
        <v>602</v>
      </c>
      <c r="K243" s="192" t="s">
        <v>603</v>
      </c>
      <c r="L243" s="192" t="s">
        <v>604</v>
      </c>
      <c r="M243" s="192" t="s">
        <v>605</v>
      </c>
      <c r="N243" s="192" t="s">
        <v>623</v>
      </c>
      <c r="O243" s="192"/>
      <c r="P243" s="192" t="s">
        <v>704</v>
      </c>
      <c r="Q243" s="192" t="s">
        <v>982</v>
      </c>
      <c r="R243" s="192" t="s">
        <v>847</v>
      </c>
    </row>
    <row r="244" spans="1:18" ht="13.15" customHeight="1" x14ac:dyDescent="0.25">
      <c r="A244" s="192" t="s">
        <v>833</v>
      </c>
      <c r="B244" s="192" t="s">
        <v>501</v>
      </c>
      <c r="C244" s="192" t="s">
        <v>978</v>
      </c>
      <c r="D244" s="192"/>
      <c r="E244" s="192"/>
      <c r="F244" s="193"/>
      <c r="G244" s="193"/>
      <c r="H244" s="192" t="s">
        <v>979</v>
      </c>
      <c r="I244" s="192" t="s">
        <v>601</v>
      </c>
      <c r="J244" s="192" t="s">
        <v>602</v>
      </c>
      <c r="K244" s="192" t="s">
        <v>603</v>
      </c>
      <c r="L244" s="192" t="s">
        <v>604</v>
      </c>
      <c r="M244" s="192" t="s">
        <v>605</v>
      </c>
      <c r="N244" s="192" t="s">
        <v>641</v>
      </c>
      <c r="O244" s="192"/>
      <c r="P244" s="192"/>
      <c r="Q244" s="192"/>
      <c r="R244" s="192" t="s">
        <v>847</v>
      </c>
    </row>
    <row r="245" spans="1:18" ht="13.15" customHeight="1" x14ac:dyDescent="0.25">
      <c r="A245" s="192" t="s">
        <v>833</v>
      </c>
      <c r="B245" s="192" t="s">
        <v>508</v>
      </c>
      <c r="C245" s="192" t="s">
        <v>976</v>
      </c>
      <c r="D245" s="192"/>
      <c r="E245" s="192"/>
      <c r="F245" s="193"/>
      <c r="G245" s="193"/>
      <c r="H245" s="192" t="s">
        <v>977</v>
      </c>
      <c r="I245" s="192" t="s">
        <v>601</v>
      </c>
      <c r="J245" s="192" t="s">
        <v>602</v>
      </c>
      <c r="K245" s="192" t="s">
        <v>603</v>
      </c>
      <c r="L245" s="192" t="s">
        <v>604</v>
      </c>
      <c r="M245" s="192" t="s">
        <v>605</v>
      </c>
      <c r="N245" s="192" t="s">
        <v>641</v>
      </c>
      <c r="O245" s="192"/>
      <c r="P245" s="192"/>
      <c r="Q245" s="192"/>
      <c r="R245" s="192" t="s">
        <v>847</v>
      </c>
    </row>
    <row r="246" spans="1:18" ht="13.15" customHeight="1" x14ac:dyDescent="0.25">
      <c r="A246" s="192" t="s">
        <v>833</v>
      </c>
      <c r="B246" s="192" t="s">
        <v>524</v>
      </c>
      <c r="C246" s="192" t="s">
        <v>963</v>
      </c>
      <c r="D246" s="192">
        <v>28097.68</v>
      </c>
      <c r="E246" s="192">
        <v>40044.81</v>
      </c>
      <c r="F246" s="193"/>
      <c r="G246" s="193"/>
      <c r="H246" s="192" t="s">
        <v>964</v>
      </c>
      <c r="I246" s="192" t="s">
        <v>601</v>
      </c>
      <c r="J246" s="192" t="s">
        <v>602</v>
      </c>
      <c r="K246" s="192" t="s">
        <v>603</v>
      </c>
      <c r="L246" s="192" t="s">
        <v>604</v>
      </c>
      <c r="M246" s="192" t="s">
        <v>605</v>
      </c>
      <c r="N246" s="192" t="s">
        <v>641</v>
      </c>
      <c r="O246" s="192"/>
      <c r="P246" s="192"/>
      <c r="Q246" s="192"/>
      <c r="R246" s="192" t="s">
        <v>847</v>
      </c>
    </row>
    <row r="247" spans="1:18" ht="13.15" customHeight="1" x14ac:dyDescent="0.25">
      <c r="A247" s="192" t="s">
        <v>833</v>
      </c>
      <c r="B247" s="194"/>
      <c r="C247" s="192" t="s">
        <v>961</v>
      </c>
      <c r="D247" s="192"/>
      <c r="E247" s="192"/>
      <c r="F247" s="193"/>
      <c r="G247" s="193"/>
      <c r="H247" s="192" t="s">
        <v>962</v>
      </c>
      <c r="I247" s="192" t="s">
        <v>601</v>
      </c>
      <c r="J247" s="192" t="s">
        <v>602</v>
      </c>
      <c r="K247" s="192" t="s">
        <v>603</v>
      </c>
      <c r="L247" s="192" t="s">
        <v>604</v>
      </c>
      <c r="M247" s="192" t="s">
        <v>605</v>
      </c>
      <c r="N247" s="192" t="s">
        <v>641</v>
      </c>
      <c r="O247" s="192"/>
      <c r="P247" s="192"/>
      <c r="Q247" s="192"/>
      <c r="R247" s="192" t="s">
        <v>847</v>
      </c>
    </row>
    <row r="248" spans="1:18" ht="13.15" customHeight="1" x14ac:dyDescent="0.25">
      <c r="A248" s="192" t="s">
        <v>833</v>
      </c>
      <c r="B248" s="192" t="s">
        <v>458</v>
      </c>
      <c r="C248" s="192" t="s">
        <v>959</v>
      </c>
      <c r="D248" s="192">
        <v>17603.22</v>
      </c>
      <c r="E248" s="192">
        <v>25088.11</v>
      </c>
      <c r="F248" s="193"/>
      <c r="G248" s="193"/>
      <c r="H248" s="192" t="s">
        <v>960</v>
      </c>
      <c r="I248" s="192" t="s">
        <v>601</v>
      </c>
      <c r="J248" s="192" t="s">
        <v>602</v>
      </c>
      <c r="K248" s="192" t="s">
        <v>603</v>
      </c>
      <c r="L248" s="192" t="s">
        <v>604</v>
      </c>
      <c r="M248" s="192" t="s">
        <v>605</v>
      </c>
      <c r="N248" s="192" t="s">
        <v>641</v>
      </c>
      <c r="O248" s="192"/>
      <c r="P248" s="192"/>
      <c r="Q248" s="192"/>
      <c r="R248" s="192" t="s">
        <v>847</v>
      </c>
    </row>
    <row r="249" spans="1:18" ht="13.15" customHeight="1" x14ac:dyDescent="0.25">
      <c r="A249" s="192" t="s">
        <v>833</v>
      </c>
      <c r="B249" s="192" t="s">
        <v>957</v>
      </c>
      <c r="C249" s="192" t="s">
        <v>956</v>
      </c>
      <c r="D249" s="192">
        <v>34222.480000000003</v>
      </c>
      <c r="E249" s="192">
        <v>48773.88</v>
      </c>
      <c r="F249" s="193"/>
      <c r="G249" s="193"/>
      <c r="H249" s="192" t="s">
        <v>958</v>
      </c>
      <c r="I249" s="192" t="s">
        <v>601</v>
      </c>
      <c r="J249" s="192" t="s">
        <v>602</v>
      </c>
      <c r="K249" s="192" t="s">
        <v>603</v>
      </c>
      <c r="L249" s="192" t="s">
        <v>604</v>
      </c>
      <c r="M249" s="192" t="s">
        <v>605</v>
      </c>
      <c r="N249" s="192" t="s">
        <v>641</v>
      </c>
      <c r="O249" s="192"/>
      <c r="P249" s="192"/>
      <c r="Q249" s="192"/>
      <c r="R249" s="192" t="s">
        <v>847</v>
      </c>
    </row>
    <row r="250" spans="1:18" ht="13.15" customHeight="1" x14ac:dyDescent="0.25">
      <c r="A250" s="192" t="s">
        <v>833</v>
      </c>
      <c r="B250" s="192" t="s">
        <v>510</v>
      </c>
      <c r="C250" s="192" t="s">
        <v>954</v>
      </c>
      <c r="D250" s="192">
        <v>48314.31</v>
      </c>
      <c r="E250" s="192">
        <v>68857.55</v>
      </c>
      <c r="F250" s="193"/>
      <c r="G250" s="193"/>
      <c r="H250" s="192" t="s">
        <v>955</v>
      </c>
      <c r="I250" s="192" t="s">
        <v>601</v>
      </c>
      <c r="J250" s="192" t="s">
        <v>602</v>
      </c>
      <c r="K250" s="192" t="s">
        <v>603</v>
      </c>
      <c r="L250" s="192" t="s">
        <v>604</v>
      </c>
      <c r="M250" s="192" t="s">
        <v>605</v>
      </c>
      <c r="N250" s="192" t="s">
        <v>641</v>
      </c>
      <c r="O250" s="192"/>
      <c r="P250" s="192"/>
      <c r="Q250" s="192"/>
      <c r="R250" s="192" t="s">
        <v>847</v>
      </c>
    </row>
    <row r="251" spans="1:18" ht="13.15" customHeight="1" x14ac:dyDescent="0.25">
      <c r="A251" s="192" t="s">
        <v>833</v>
      </c>
      <c r="B251" s="192" t="s">
        <v>514</v>
      </c>
      <c r="C251" s="192" t="s">
        <v>952</v>
      </c>
      <c r="D251" s="192">
        <v>38970.29</v>
      </c>
      <c r="E251" s="192">
        <v>55540.46</v>
      </c>
      <c r="F251" s="193"/>
      <c r="G251" s="193"/>
      <c r="H251" s="192" t="s">
        <v>953</v>
      </c>
      <c r="I251" s="192" t="s">
        <v>601</v>
      </c>
      <c r="J251" s="192" t="s">
        <v>602</v>
      </c>
      <c r="K251" s="192" t="s">
        <v>603</v>
      </c>
      <c r="L251" s="192" t="s">
        <v>604</v>
      </c>
      <c r="M251" s="192" t="s">
        <v>605</v>
      </c>
      <c r="N251" s="192" t="s">
        <v>641</v>
      </c>
      <c r="O251" s="192"/>
      <c r="P251" s="192"/>
      <c r="Q251" s="192"/>
      <c r="R251" s="192" t="s">
        <v>847</v>
      </c>
    </row>
    <row r="252" spans="1:18" ht="13.15" customHeight="1" x14ac:dyDescent="0.25">
      <c r="A252" s="192" t="s">
        <v>833</v>
      </c>
      <c r="B252" s="192" t="s">
        <v>451</v>
      </c>
      <c r="C252" s="192" t="s">
        <v>950</v>
      </c>
      <c r="D252" s="192">
        <v>23022.44</v>
      </c>
      <c r="E252" s="192">
        <v>32811.58</v>
      </c>
      <c r="F252" s="193"/>
      <c r="G252" s="193"/>
      <c r="H252" s="192" t="s">
        <v>951</v>
      </c>
      <c r="I252" s="192" t="s">
        <v>601</v>
      </c>
      <c r="J252" s="192" t="s">
        <v>602</v>
      </c>
      <c r="K252" s="192" t="s">
        <v>603</v>
      </c>
      <c r="L252" s="192" t="s">
        <v>604</v>
      </c>
      <c r="M252" s="192" t="s">
        <v>605</v>
      </c>
      <c r="N252" s="192" t="s">
        <v>641</v>
      </c>
      <c r="O252" s="192"/>
      <c r="P252" s="192"/>
      <c r="Q252" s="192"/>
      <c r="R252" s="192" t="s">
        <v>847</v>
      </c>
    </row>
    <row r="253" spans="1:18" ht="13.15" customHeight="1" x14ac:dyDescent="0.25">
      <c r="A253" s="192" t="s">
        <v>833</v>
      </c>
      <c r="B253" s="194"/>
      <c r="C253" s="192" t="s">
        <v>948</v>
      </c>
      <c r="D253" s="192"/>
      <c r="E253" s="192"/>
      <c r="F253" s="193"/>
      <c r="G253" s="193"/>
      <c r="H253" s="192" t="s">
        <v>949</v>
      </c>
      <c r="I253" s="192" t="s">
        <v>601</v>
      </c>
      <c r="J253" s="192" t="s">
        <v>602</v>
      </c>
      <c r="K253" s="192" t="s">
        <v>603</v>
      </c>
      <c r="L253" s="192" t="s">
        <v>604</v>
      </c>
      <c r="M253" s="192" t="s">
        <v>605</v>
      </c>
      <c r="N253" s="192" t="s">
        <v>641</v>
      </c>
      <c r="O253" s="192"/>
      <c r="P253" s="192"/>
      <c r="Q253" s="192"/>
      <c r="R253" s="192" t="s">
        <v>847</v>
      </c>
    </row>
    <row r="254" spans="1:18" ht="13.15" customHeight="1" x14ac:dyDescent="0.25">
      <c r="A254" s="192" t="s">
        <v>833</v>
      </c>
      <c r="B254" s="192" t="s">
        <v>443</v>
      </c>
      <c r="C254" s="192" t="s">
        <v>946</v>
      </c>
      <c r="D254" s="192">
        <v>22413.32</v>
      </c>
      <c r="E254" s="192">
        <v>31943.46</v>
      </c>
      <c r="F254" s="193"/>
      <c r="G254" s="193"/>
      <c r="H254" s="192" t="s">
        <v>947</v>
      </c>
      <c r="I254" s="192" t="s">
        <v>601</v>
      </c>
      <c r="J254" s="192" t="s">
        <v>602</v>
      </c>
      <c r="K254" s="192" t="s">
        <v>603</v>
      </c>
      <c r="L254" s="192" t="s">
        <v>604</v>
      </c>
      <c r="M254" s="192" t="s">
        <v>605</v>
      </c>
      <c r="N254" s="192" t="s">
        <v>641</v>
      </c>
      <c r="O254" s="192"/>
      <c r="P254" s="192"/>
      <c r="Q254" s="192"/>
      <c r="R254" s="192" t="s">
        <v>847</v>
      </c>
    </row>
    <row r="255" spans="1:18" ht="13.15" customHeight="1" x14ac:dyDescent="0.25">
      <c r="A255" s="192" t="s">
        <v>833</v>
      </c>
      <c r="B255" s="194"/>
      <c r="C255" s="192" t="s">
        <v>944</v>
      </c>
      <c r="D255" s="192"/>
      <c r="E255" s="192"/>
      <c r="F255" s="193"/>
      <c r="G255" s="193"/>
      <c r="H255" s="192" t="s">
        <v>945</v>
      </c>
      <c r="I255" s="192" t="s">
        <v>601</v>
      </c>
      <c r="J255" s="192" t="s">
        <v>602</v>
      </c>
      <c r="K255" s="192" t="s">
        <v>603</v>
      </c>
      <c r="L255" s="192" t="s">
        <v>604</v>
      </c>
      <c r="M255" s="192" t="s">
        <v>605</v>
      </c>
      <c r="N255" s="192" t="s">
        <v>641</v>
      </c>
      <c r="O255" s="192"/>
      <c r="P255" s="192"/>
      <c r="Q255" s="192"/>
      <c r="R255" s="192" t="s">
        <v>847</v>
      </c>
    </row>
    <row r="256" spans="1:18" ht="13.15" customHeight="1" x14ac:dyDescent="0.25">
      <c r="A256" s="192" t="s">
        <v>833</v>
      </c>
      <c r="B256" s="192" t="s">
        <v>415</v>
      </c>
      <c r="C256" s="192" t="s">
        <v>974</v>
      </c>
      <c r="D256" s="192">
        <v>36288.51</v>
      </c>
      <c r="E256" s="192">
        <v>51718.38</v>
      </c>
      <c r="F256" s="193"/>
      <c r="G256" s="193"/>
      <c r="H256" s="192" t="s">
        <v>975</v>
      </c>
      <c r="I256" s="192" t="s">
        <v>601</v>
      </c>
      <c r="J256" s="192" t="s">
        <v>602</v>
      </c>
      <c r="K256" s="192" t="s">
        <v>603</v>
      </c>
      <c r="L256" s="192" t="s">
        <v>604</v>
      </c>
      <c r="M256" s="192" t="s">
        <v>605</v>
      </c>
      <c r="N256" s="192" t="s">
        <v>641</v>
      </c>
      <c r="O256" s="192"/>
      <c r="P256" s="192"/>
      <c r="Q256" s="192"/>
      <c r="R256" s="192" t="s">
        <v>847</v>
      </c>
    </row>
    <row r="257" spans="1:18" ht="13.15" customHeight="1" x14ac:dyDescent="0.25">
      <c r="A257" s="192" t="s">
        <v>833</v>
      </c>
      <c r="B257" s="192" t="s">
        <v>420</v>
      </c>
      <c r="C257" s="192" t="s">
        <v>972</v>
      </c>
      <c r="D257" s="192">
        <v>36288.51</v>
      </c>
      <c r="E257" s="192">
        <v>51718.38</v>
      </c>
      <c r="F257" s="193"/>
      <c r="G257" s="193"/>
      <c r="H257" s="192" t="s">
        <v>973</v>
      </c>
      <c r="I257" s="192" t="s">
        <v>601</v>
      </c>
      <c r="J257" s="192" t="s">
        <v>602</v>
      </c>
      <c r="K257" s="192" t="s">
        <v>603</v>
      </c>
      <c r="L257" s="192" t="s">
        <v>604</v>
      </c>
      <c r="M257" s="192" t="s">
        <v>605</v>
      </c>
      <c r="N257" s="192" t="s">
        <v>641</v>
      </c>
      <c r="O257" s="192"/>
      <c r="P257" s="192"/>
      <c r="Q257" s="192"/>
      <c r="R257" s="192" t="s">
        <v>847</v>
      </c>
    </row>
    <row r="258" spans="1:18" ht="13.15" customHeight="1" x14ac:dyDescent="0.25">
      <c r="A258" s="192" t="s">
        <v>833</v>
      </c>
      <c r="B258" s="192" t="s">
        <v>970</v>
      </c>
      <c r="C258" s="192" t="s">
        <v>969</v>
      </c>
      <c r="D258" s="192">
        <v>48314.31</v>
      </c>
      <c r="E258" s="192">
        <v>68857.55</v>
      </c>
      <c r="F258" s="193"/>
      <c r="G258" s="193"/>
      <c r="H258" s="192" t="s">
        <v>971</v>
      </c>
      <c r="I258" s="192" t="s">
        <v>601</v>
      </c>
      <c r="J258" s="192" t="s">
        <v>602</v>
      </c>
      <c r="K258" s="192" t="s">
        <v>603</v>
      </c>
      <c r="L258" s="192" t="s">
        <v>604</v>
      </c>
      <c r="M258" s="192" t="s">
        <v>605</v>
      </c>
      <c r="N258" s="192" t="s">
        <v>641</v>
      </c>
      <c r="O258" s="192"/>
      <c r="P258" s="192"/>
      <c r="Q258" s="192"/>
      <c r="R258" s="192" t="s">
        <v>847</v>
      </c>
    </row>
    <row r="259" spans="1:18" ht="13.15" customHeight="1" x14ac:dyDescent="0.25">
      <c r="A259" s="192" t="s">
        <v>833</v>
      </c>
      <c r="B259" s="192" t="s">
        <v>526</v>
      </c>
      <c r="C259" s="192" t="s">
        <v>942</v>
      </c>
      <c r="D259" s="192">
        <v>28287.3</v>
      </c>
      <c r="E259" s="192">
        <v>40315.06</v>
      </c>
      <c r="F259" s="193"/>
      <c r="G259" s="193"/>
      <c r="H259" s="192" t="s">
        <v>943</v>
      </c>
      <c r="I259" s="192" t="s">
        <v>601</v>
      </c>
      <c r="J259" s="192" t="s">
        <v>602</v>
      </c>
      <c r="K259" s="192" t="s">
        <v>603</v>
      </c>
      <c r="L259" s="192" t="s">
        <v>604</v>
      </c>
      <c r="M259" s="192" t="s">
        <v>605</v>
      </c>
      <c r="N259" s="192" t="s">
        <v>641</v>
      </c>
      <c r="O259" s="192"/>
      <c r="P259" s="192"/>
      <c r="Q259" s="192"/>
      <c r="R259" s="192" t="s">
        <v>847</v>
      </c>
    </row>
    <row r="260" spans="1:18" ht="13.15" customHeight="1" x14ac:dyDescent="0.25">
      <c r="A260" s="192" t="s">
        <v>833</v>
      </c>
      <c r="B260" s="192" t="s">
        <v>503</v>
      </c>
      <c r="C260" s="192" t="s">
        <v>940</v>
      </c>
      <c r="D260" s="192">
        <v>22160.86</v>
      </c>
      <c r="E260" s="192">
        <v>31583.66</v>
      </c>
      <c r="F260" s="193"/>
      <c r="G260" s="193"/>
      <c r="H260" s="192" t="s">
        <v>941</v>
      </c>
      <c r="I260" s="192" t="s">
        <v>601</v>
      </c>
      <c r="J260" s="192" t="s">
        <v>602</v>
      </c>
      <c r="K260" s="192" t="s">
        <v>603</v>
      </c>
      <c r="L260" s="192" t="s">
        <v>604</v>
      </c>
      <c r="M260" s="192" t="s">
        <v>605</v>
      </c>
      <c r="N260" s="192" t="s">
        <v>641</v>
      </c>
      <c r="O260" s="192"/>
      <c r="P260" s="192"/>
      <c r="Q260" s="192"/>
      <c r="R260" s="192" t="s">
        <v>847</v>
      </c>
    </row>
    <row r="261" spans="1:18" ht="13.15" customHeight="1" x14ac:dyDescent="0.25">
      <c r="A261" s="192" t="s">
        <v>833</v>
      </c>
      <c r="B261" s="192" t="s">
        <v>520</v>
      </c>
      <c r="C261" s="192" t="s">
        <v>938</v>
      </c>
      <c r="D261" s="192">
        <v>39738.160000000003</v>
      </c>
      <c r="E261" s="192">
        <v>56634.83</v>
      </c>
      <c r="F261" s="193"/>
      <c r="G261" s="193"/>
      <c r="H261" s="192" t="s">
        <v>939</v>
      </c>
      <c r="I261" s="192" t="s">
        <v>601</v>
      </c>
      <c r="J261" s="192" t="s">
        <v>602</v>
      </c>
      <c r="K261" s="192" t="s">
        <v>603</v>
      </c>
      <c r="L261" s="192" t="s">
        <v>604</v>
      </c>
      <c r="M261" s="192" t="s">
        <v>605</v>
      </c>
      <c r="N261" s="192" t="s">
        <v>641</v>
      </c>
      <c r="O261" s="192"/>
      <c r="P261" s="192"/>
      <c r="Q261" s="192"/>
      <c r="R261" s="192" t="s">
        <v>847</v>
      </c>
    </row>
    <row r="262" spans="1:18" ht="13.15" customHeight="1" x14ac:dyDescent="0.25">
      <c r="A262" s="192" t="s">
        <v>833</v>
      </c>
      <c r="B262" s="192" t="s">
        <v>456</v>
      </c>
      <c r="C262" s="192" t="s">
        <v>935</v>
      </c>
      <c r="D262" s="192">
        <v>18247.27</v>
      </c>
      <c r="E262" s="192">
        <v>26006.01</v>
      </c>
      <c r="F262" s="193"/>
      <c r="G262" s="193"/>
      <c r="H262" s="192" t="s">
        <v>936</v>
      </c>
      <c r="I262" s="192" t="s">
        <v>601</v>
      </c>
      <c r="J262" s="192" t="s">
        <v>602</v>
      </c>
      <c r="K262" s="192" t="s">
        <v>603</v>
      </c>
      <c r="L262" s="192" t="s">
        <v>604</v>
      </c>
      <c r="M262" s="192" t="s">
        <v>605</v>
      </c>
      <c r="N262" s="192" t="s">
        <v>641</v>
      </c>
      <c r="O262" s="192"/>
      <c r="P262" s="192" t="s">
        <v>704</v>
      </c>
      <c r="Q262" s="192" t="s">
        <v>937</v>
      </c>
      <c r="R262" s="192" t="s">
        <v>847</v>
      </c>
    </row>
    <row r="263" spans="1:18" ht="13.15" customHeight="1" x14ac:dyDescent="0.25">
      <c r="A263" s="192" t="s">
        <v>833</v>
      </c>
      <c r="B263" s="192" t="s">
        <v>121</v>
      </c>
      <c r="C263" s="192" t="s">
        <v>933</v>
      </c>
      <c r="D263" s="192">
        <v>25719.54</v>
      </c>
      <c r="E263" s="192">
        <v>36655.49</v>
      </c>
      <c r="F263" s="193"/>
      <c r="G263" s="193"/>
      <c r="H263" s="192" t="s">
        <v>934</v>
      </c>
      <c r="I263" s="192" t="s">
        <v>601</v>
      </c>
      <c r="J263" s="192" t="s">
        <v>602</v>
      </c>
      <c r="K263" s="192" t="s">
        <v>603</v>
      </c>
      <c r="L263" s="192" t="s">
        <v>604</v>
      </c>
      <c r="M263" s="192" t="s">
        <v>605</v>
      </c>
      <c r="N263" s="192" t="s">
        <v>641</v>
      </c>
      <c r="O263" s="192"/>
      <c r="P263" s="192" t="s">
        <v>704</v>
      </c>
      <c r="Q263" s="192" t="s">
        <v>930</v>
      </c>
      <c r="R263" s="192" t="s">
        <v>847</v>
      </c>
    </row>
    <row r="264" spans="1:18" ht="13.15" customHeight="1" x14ac:dyDescent="0.25">
      <c r="A264" s="192" t="s">
        <v>833</v>
      </c>
      <c r="B264" s="192" t="s">
        <v>111</v>
      </c>
      <c r="C264" s="192" t="s">
        <v>931</v>
      </c>
      <c r="D264" s="192">
        <v>35918.22</v>
      </c>
      <c r="E264" s="192">
        <v>51190.65</v>
      </c>
      <c r="F264" s="193"/>
      <c r="G264" s="193"/>
      <c r="H264" s="192" t="s">
        <v>932</v>
      </c>
      <c r="I264" s="192" t="s">
        <v>601</v>
      </c>
      <c r="J264" s="192" t="s">
        <v>602</v>
      </c>
      <c r="K264" s="192" t="s">
        <v>603</v>
      </c>
      <c r="L264" s="192" t="s">
        <v>604</v>
      </c>
      <c r="M264" s="192" t="s">
        <v>605</v>
      </c>
      <c r="N264" s="192" t="s">
        <v>641</v>
      </c>
      <c r="O264" s="192"/>
      <c r="P264" s="192" t="s">
        <v>704</v>
      </c>
      <c r="Q264" s="192" t="s">
        <v>927</v>
      </c>
      <c r="R264" s="192" t="s">
        <v>847</v>
      </c>
    </row>
    <row r="265" spans="1:18" ht="13.15" customHeight="1" x14ac:dyDescent="0.25">
      <c r="A265" s="192" t="s">
        <v>833</v>
      </c>
      <c r="B265" s="192" t="s">
        <v>123</v>
      </c>
      <c r="C265" s="192" t="s">
        <v>928</v>
      </c>
      <c r="D265" s="192">
        <v>26557.11</v>
      </c>
      <c r="E265" s="192">
        <v>37849.19</v>
      </c>
      <c r="F265" s="193"/>
      <c r="G265" s="193"/>
      <c r="H265" s="192" t="s">
        <v>929</v>
      </c>
      <c r="I265" s="192" t="s">
        <v>601</v>
      </c>
      <c r="J265" s="192" t="s">
        <v>602</v>
      </c>
      <c r="K265" s="192" t="s">
        <v>603</v>
      </c>
      <c r="L265" s="192" t="s">
        <v>604</v>
      </c>
      <c r="M265" s="192" t="s">
        <v>605</v>
      </c>
      <c r="N265" s="192" t="s">
        <v>641</v>
      </c>
      <c r="O265" s="192"/>
      <c r="P265" s="192" t="s">
        <v>704</v>
      </c>
      <c r="Q265" s="192" t="s">
        <v>930</v>
      </c>
      <c r="R265" s="192" t="s">
        <v>847</v>
      </c>
    </row>
    <row r="266" spans="1:18" ht="13.15" customHeight="1" x14ac:dyDescent="0.25">
      <c r="A266" s="192" t="s">
        <v>833</v>
      </c>
      <c r="B266" s="192" t="s">
        <v>113</v>
      </c>
      <c r="C266" s="192" t="s">
        <v>925</v>
      </c>
      <c r="D266" s="192">
        <v>3754.16</v>
      </c>
      <c r="E266" s="192">
        <v>5350.43</v>
      </c>
      <c r="F266" s="193"/>
      <c r="G266" s="193"/>
      <c r="H266" s="192" t="s">
        <v>926</v>
      </c>
      <c r="I266" s="192" t="s">
        <v>601</v>
      </c>
      <c r="J266" s="192" t="s">
        <v>602</v>
      </c>
      <c r="K266" s="192" t="s">
        <v>603</v>
      </c>
      <c r="L266" s="192" t="s">
        <v>604</v>
      </c>
      <c r="M266" s="192" t="s">
        <v>605</v>
      </c>
      <c r="N266" s="192" t="s">
        <v>641</v>
      </c>
      <c r="O266" s="192"/>
      <c r="P266" s="192" t="s">
        <v>704</v>
      </c>
      <c r="Q266" s="192" t="s">
        <v>927</v>
      </c>
      <c r="R266" s="192" t="s">
        <v>847</v>
      </c>
    </row>
    <row r="267" spans="1:18" ht="13.15" customHeight="1" x14ac:dyDescent="0.25">
      <c r="A267" s="192" t="s">
        <v>1536</v>
      </c>
      <c r="B267" s="192" t="s">
        <v>1755</v>
      </c>
      <c r="C267" s="192" t="s">
        <v>1754</v>
      </c>
      <c r="D267" s="192">
        <v>10241.44</v>
      </c>
      <c r="E267" s="192">
        <v>14596.1</v>
      </c>
      <c r="F267" s="193"/>
      <c r="G267" s="193"/>
      <c r="H267" s="192" t="s">
        <v>1756</v>
      </c>
      <c r="I267" s="192" t="s">
        <v>601</v>
      </c>
      <c r="J267" s="192" t="s">
        <v>602</v>
      </c>
      <c r="K267" s="192" t="s">
        <v>1547</v>
      </c>
      <c r="L267" s="192" t="s">
        <v>604</v>
      </c>
      <c r="M267" s="192" t="s">
        <v>605</v>
      </c>
      <c r="N267" s="192" t="s">
        <v>641</v>
      </c>
      <c r="O267" s="192"/>
      <c r="P267" s="192"/>
      <c r="Q267" s="192"/>
      <c r="R267" s="192" t="s">
        <v>847</v>
      </c>
    </row>
    <row r="268" spans="1:18" ht="13.15" customHeight="1" x14ac:dyDescent="0.25">
      <c r="A268" s="192" t="s">
        <v>833</v>
      </c>
      <c r="B268" s="192" t="s">
        <v>498</v>
      </c>
      <c r="C268" s="192" t="s">
        <v>967</v>
      </c>
      <c r="D268" s="192">
        <v>48314.31</v>
      </c>
      <c r="E268" s="192">
        <v>68857.55</v>
      </c>
      <c r="F268" s="193"/>
      <c r="G268" s="193"/>
      <c r="H268" s="192" t="s">
        <v>968</v>
      </c>
      <c r="I268" s="192" t="s">
        <v>601</v>
      </c>
      <c r="J268" s="192" t="s">
        <v>602</v>
      </c>
      <c r="K268" s="192" t="s">
        <v>603</v>
      </c>
      <c r="L268" s="192" t="s">
        <v>604</v>
      </c>
      <c r="M268" s="192" t="s">
        <v>605</v>
      </c>
      <c r="N268" s="192" t="s">
        <v>641</v>
      </c>
      <c r="O268" s="192"/>
      <c r="P268" s="192"/>
      <c r="Q268" s="192"/>
      <c r="R268" s="192" t="s">
        <v>847</v>
      </c>
    </row>
    <row r="269" spans="1:18" ht="13.15" customHeight="1" x14ac:dyDescent="0.25">
      <c r="A269" s="192" t="s">
        <v>833</v>
      </c>
      <c r="B269" s="192" t="s">
        <v>512</v>
      </c>
      <c r="C269" s="192" t="s">
        <v>965</v>
      </c>
      <c r="D269" s="192">
        <v>36288.51</v>
      </c>
      <c r="E269" s="192">
        <v>51718.38</v>
      </c>
      <c r="F269" s="193"/>
      <c r="G269" s="193"/>
      <c r="H269" s="192" t="s">
        <v>966</v>
      </c>
      <c r="I269" s="192" t="s">
        <v>601</v>
      </c>
      <c r="J269" s="192" t="s">
        <v>602</v>
      </c>
      <c r="K269" s="192" t="s">
        <v>603</v>
      </c>
      <c r="L269" s="192" t="s">
        <v>604</v>
      </c>
      <c r="M269" s="192" t="s">
        <v>605</v>
      </c>
      <c r="N269" s="192" t="s">
        <v>641</v>
      </c>
      <c r="O269" s="192"/>
      <c r="P269" s="192"/>
      <c r="Q269" s="192"/>
      <c r="R269" s="192" t="s">
        <v>847</v>
      </c>
    </row>
    <row r="270" spans="1:18" ht="13.15" customHeight="1" x14ac:dyDescent="0.25">
      <c r="A270" s="192" t="s">
        <v>833</v>
      </c>
      <c r="B270" s="192" t="s">
        <v>460</v>
      </c>
      <c r="C270" s="192" t="s">
        <v>923</v>
      </c>
      <c r="D270" s="192">
        <v>17603.22</v>
      </c>
      <c r="E270" s="192">
        <v>25088.11</v>
      </c>
      <c r="F270" s="193"/>
      <c r="G270" s="193"/>
      <c r="H270" s="192" t="s">
        <v>924</v>
      </c>
      <c r="I270" s="192" t="s">
        <v>601</v>
      </c>
      <c r="J270" s="192" t="s">
        <v>602</v>
      </c>
      <c r="K270" s="192" t="s">
        <v>603</v>
      </c>
      <c r="L270" s="192" t="s">
        <v>604</v>
      </c>
      <c r="M270" s="192" t="s">
        <v>605</v>
      </c>
      <c r="N270" s="192" t="s">
        <v>641</v>
      </c>
      <c r="O270" s="192"/>
      <c r="P270" s="192"/>
      <c r="Q270" s="192"/>
      <c r="R270" s="192" t="s">
        <v>847</v>
      </c>
    </row>
    <row r="271" spans="1:18" ht="13.15" customHeight="1" x14ac:dyDescent="0.25">
      <c r="A271" s="192" t="s">
        <v>833</v>
      </c>
      <c r="B271" s="192" t="s">
        <v>505</v>
      </c>
      <c r="C271" s="192" t="s">
        <v>921</v>
      </c>
      <c r="D271" s="192">
        <v>22564.36</v>
      </c>
      <c r="E271" s="192">
        <v>32158.73</v>
      </c>
      <c r="F271" s="193"/>
      <c r="G271" s="193"/>
      <c r="H271" s="192" t="s">
        <v>922</v>
      </c>
      <c r="I271" s="192" t="s">
        <v>601</v>
      </c>
      <c r="J271" s="192" t="s">
        <v>602</v>
      </c>
      <c r="K271" s="192" t="s">
        <v>603</v>
      </c>
      <c r="L271" s="192" t="s">
        <v>604</v>
      </c>
      <c r="M271" s="192" t="s">
        <v>605</v>
      </c>
      <c r="N271" s="192" t="s">
        <v>641</v>
      </c>
      <c r="O271" s="192"/>
      <c r="P271" s="192"/>
      <c r="Q271" s="192"/>
      <c r="R271" s="192" t="s">
        <v>847</v>
      </c>
    </row>
    <row r="272" spans="1:18" ht="13.15" customHeight="1" x14ac:dyDescent="0.25">
      <c r="A272" s="192" t="s">
        <v>833</v>
      </c>
      <c r="B272" s="192" t="s">
        <v>500</v>
      </c>
      <c r="C272" s="192" t="s">
        <v>919</v>
      </c>
      <c r="D272" s="192">
        <v>36288.51</v>
      </c>
      <c r="E272" s="192">
        <v>51718.38</v>
      </c>
      <c r="F272" s="193"/>
      <c r="G272" s="193"/>
      <c r="H272" s="192" t="s">
        <v>920</v>
      </c>
      <c r="I272" s="192" t="s">
        <v>601</v>
      </c>
      <c r="J272" s="192" t="s">
        <v>602</v>
      </c>
      <c r="K272" s="192" t="s">
        <v>603</v>
      </c>
      <c r="L272" s="192" t="s">
        <v>604</v>
      </c>
      <c r="M272" s="192" t="s">
        <v>605</v>
      </c>
      <c r="N272" s="192" t="s">
        <v>641</v>
      </c>
      <c r="O272" s="192"/>
      <c r="P272" s="192"/>
      <c r="Q272" s="192"/>
      <c r="R272" s="192" t="s">
        <v>847</v>
      </c>
    </row>
    <row r="273" spans="1:18" ht="13.15" customHeight="1" x14ac:dyDescent="0.25">
      <c r="A273" s="192" t="s">
        <v>833</v>
      </c>
      <c r="B273" s="192" t="s">
        <v>522</v>
      </c>
      <c r="C273" s="192" t="s">
        <v>917</v>
      </c>
      <c r="D273" s="192">
        <v>23084.73</v>
      </c>
      <c r="E273" s="192">
        <v>32900.36</v>
      </c>
      <c r="F273" s="193"/>
      <c r="G273" s="193"/>
      <c r="H273" s="192" t="s">
        <v>918</v>
      </c>
      <c r="I273" s="192" t="s">
        <v>601</v>
      </c>
      <c r="J273" s="192" t="s">
        <v>602</v>
      </c>
      <c r="K273" s="192" t="s">
        <v>603</v>
      </c>
      <c r="L273" s="192" t="s">
        <v>604</v>
      </c>
      <c r="M273" s="192" t="s">
        <v>605</v>
      </c>
      <c r="N273" s="192" t="s">
        <v>641</v>
      </c>
      <c r="O273" s="192"/>
      <c r="P273" s="192"/>
      <c r="Q273" s="192"/>
      <c r="R273" s="192" t="s">
        <v>847</v>
      </c>
    </row>
    <row r="274" spans="1:18" ht="13.15" customHeight="1" x14ac:dyDescent="0.25">
      <c r="A274" s="192" t="s">
        <v>833</v>
      </c>
      <c r="B274" s="192" t="s">
        <v>516</v>
      </c>
      <c r="C274" s="192" t="s">
        <v>915</v>
      </c>
      <c r="D274" s="192">
        <v>36288.51</v>
      </c>
      <c r="E274" s="192">
        <v>51718.38</v>
      </c>
      <c r="F274" s="193"/>
      <c r="G274" s="193"/>
      <c r="H274" s="192" t="s">
        <v>916</v>
      </c>
      <c r="I274" s="192" t="s">
        <v>601</v>
      </c>
      <c r="J274" s="192" t="s">
        <v>602</v>
      </c>
      <c r="K274" s="192" t="s">
        <v>603</v>
      </c>
      <c r="L274" s="192" t="s">
        <v>604</v>
      </c>
      <c r="M274" s="192" t="s">
        <v>605</v>
      </c>
      <c r="N274" s="192" t="s">
        <v>641</v>
      </c>
      <c r="O274" s="192"/>
      <c r="P274" s="192"/>
      <c r="Q274" s="192"/>
      <c r="R274" s="192" t="s">
        <v>847</v>
      </c>
    </row>
    <row r="275" spans="1:18" ht="13.15" customHeight="1" x14ac:dyDescent="0.25">
      <c r="A275" s="192" t="s">
        <v>1536</v>
      </c>
      <c r="B275" s="194"/>
      <c r="C275" s="192" t="s">
        <v>1752</v>
      </c>
      <c r="D275" s="192"/>
      <c r="E275" s="192"/>
      <c r="F275" s="193"/>
      <c r="G275" s="193"/>
      <c r="H275" s="192" t="s">
        <v>1753</v>
      </c>
      <c r="I275" s="192" t="s">
        <v>601</v>
      </c>
      <c r="J275" s="192" t="s">
        <v>602</v>
      </c>
      <c r="K275" s="192" t="s">
        <v>603</v>
      </c>
      <c r="L275" s="192" t="s">
        <v>695</v>
      </c>
      <c r="M275" s="192" t="s">
        <v>605</v>
      </c>
      <c r="N275" s="192" t="s">
        <v>623</v>
      </c>
      <c r="O275" s="192"/>
      <c r="P275" s="192"/>
      <c r="Q275" s="192"/>
      <c r="R275" s="192" t="s">
        <v>649</v>
      </c>
    </row>
    <row r="276" spans="1:18" ht="13.15" customHeight="1" x14ac:dyDescent="0.25">
      <c r="A276" s="192" t="s">
        <v>833</v>
      </c>
      <c r="B276" s="192" t="s">
        <v>913</v>
      </c>
      <c r="C276" s="192" t="s">
        <v>912</v>
      </c>
      <c r="D276" s="192"/>
      <c r="E276" s="192"/>
      <c r="F276" s="193"/>
      <c r="G276" s="193"/>
      <c r="H276" s="192" t="s">
        <v>914</v>
      </c>
      <c r="I276" s="192" t="s">
        <v>601</v>
      </c>
      <c r="J276" s="192" t="s">
        <v>602</v>
      </c>
      <c r="K276" s="192" t="s">
        <v>603</v>
      </c>
      <c r="L276" s="192" t="s">
        <v>604</v>
      </c>
      <c r="M276" s="192" t="s">
        <v>605</v>
      </c>
      <c r="N276" s="192" t="s">
        <v>623</v>
      </c>
      <c r="O276" s="192" t="s">
        <v>641</v>
      </c>
      <c r="P276" s="192"/>
      <c r="Q276" s="192"/>
      <c r="R276" s="192" t="s">
        <v>847</v>
      </c>
    </row>
    <row r="277" spans="1:18" ht="13.15" customHeight="1" x14ac:dyDescent="0.25">
      <c r="A277" s="192" t="s">
        <v>1536</v>
      </c>
      <c r="B277" s="192" t="s">
        <v>1750</v>
      </c>
      <c r="C277" s="192" t="s">
        <v>1749</v>
      </c>
      <c r="D277" s="192"/>
      <c r="E277" s="192"/>
      <c r="F277" s="193"/>
      <c r="G277" s="193"/>
      <c r="H277" s="192" t="s">
        <v>1751</v>
      </c>
      <c r="I277" s="192" t="s">
        <v>601</v>
      </c>
      <c r="J277" s="192" t="s">
        <v>602</v>
      </c>
      <c r="K277" s="192" t="s">
        <v>603</v>
      </c>
      <c r="L277" s="192" t="s">
        <v>695</v>
      </c>
      <c r="M277" s="192" t="s">
        <v>605</v>
      </c>
      <c r="N277" s="192" t="s">
        <v>623</v>
      </c>
      <c r="O277" s="192"/>
      <c r="P277" s="192"/>
      <c r="Q277" s="192"/>
      <c r="R277" s="192" t="s">
        <v>649</v>
      </c>
    </row>
    <row r="278" spans="1:18" ht="13.15" customHeight="1" x14ac:dyDescent="0.25">
      <c r="A278" s="192" t="s">
        <v>833</v>
      </c>
      <c r="B278" s="192" t="s">
        <v>481</v>
      </c>
      <c r="C278" s="192" t="s">
        <v>910</v>
      </c>
      <c r="D278" s="192"/>
      <c r="E278" s="192"/>
      <c r="F278" s="193"/>
      <c r="G278" s="193"/>
      <c r="H278" s="192" t="s">
        <v>911</v>
      </c>
      <c r="I278" s="192" t="s">
        <v>601</v>
      </c>
      <c r="J278" s="192" t="s">
        <v>602</v>
      </c>
      <c r="K278" s="192" t="s">
        <v>603</v>
      </c>
      <c r="L278" s="192" t="s">
        <v>604</v>
      </c>
      <c r="M278" s="192" t="s">
        <v>605</v>
      </c>
      <c r="N278" s="192" t="s">
        <v>623</v>
      </c>
      <c r="O278" s="192"/>
      <c r="P278" s="192"/>
      <c r="Q278" s="192"/>
      <c r="R278" s="192" t="s">
        <v>847</v>
      </c>
    </row>
    <row r="279" spans="1:18" ht="13.15" customHeight="1" x14ac:dyDescent="0.25">
      <c r="A279" s="192" t="s">
        <v>1536</v>
      </c>
      <c r="B279" s="192" t="s">
        <v>1747</v>
      </c>
      <c r="C279" s="192" t="s">
        <v>1746</v>
      </c>
      <c r="D279" s="192">
        <v>3554.38</v>
      </c>
      <c r="E279" s="192">
        <v>5065.7</v>
      </c>
      <c r="F279" s="193"/>
      <c r="G279" s="193"/>
      <c r="H279" s="192" t="s">
        <v>1748</v>
      </c>
      <c r="I279" s="192" t="s">
        <v>601</v>
      </c>
      <c r="J279" s="192" t="s">
        <v>602</v>
      </c>
      <c r="K279" s="192" t="s">
        <v>1002</v>
      </c>
      <c r="L279" s="192" t="s">
        <v>604</v>
      </c>
      <c r="M279" s="192" t="s">
        <v>605</v>
      </c>
      <c r="N279" s="192" t="s">
        <v>623</v>
      </c>
      <c r="O279" s="192"/>
      <c r="P279" s="192"/>
      <c r="Q279" s="192"/>
      <c r="R279" s="192" t="s">
        <v>847</v>
      </c>
    </row>
    <row r="280" spans="1:18" ht="13.15" customHeight="1" x14ac:dyDescent="0.25">
      <c r="A280" s="192" t="s">
        <v>833</v>
      </c>
      <c r="B280" s="192" t="s">
        <v>484</v>
      </c>
      <c r="C280" s="192" t="s">
        <v>908</v>
      </c>
      <c r="D280" s="192"/>
      <c r="E280" s="192"/>
      <c r="F280" s="193"/>
      <c r="G280" s="193"/>
      <c r="H280" s="192" t="s">
        <v>909</v>
      </c>
      <c r="I280" s="192" t="s">
        <v>601</v>
      </c>
      <c r="J280" s="192" t="s">
        <v>602</v>
      </c>
      <c r="K280" s="192" t="s">
        <v>603</v>
      </c>
      <c r="L280" s="192" t="s">
        <v>604</v>
      </c>
      <c r="M280" s="192" t="s">
        <v>605</v>
      </c>
      <c r="N280" s="192" t="s">
        <v>623</v>
      </c>
      <c r="O280" s="192"/>
      <c r="P280" s="192"/>
      <c r="Q280" s="192"/>
      <c r="R280" s="192" t="s">
        <v>847</v>
      </c>
    </row>
    <row r="281" spans="1:18" ht="13.15" customHeight="1" x14ac:dyDescent="0.25">
      <c r="A281" s="192" t="s">
        <v>833</v>
      </c>
      <c r="B281" s="192" t="s">
        <v>483</v>
      </c>
      <c r="C281" s="192" t="s">
        <v>902</v>
      </c>
      <c r="D281" s="192"/>
      <c r="E281" s="192"/>
      <c r="F281" s="193"/>
      <c r="G281" s="193"/>
      <c r="H281" s="192" t="s">
        <v>903</v>
      </c>
      <c r="I281" s="192" t="s">
        <v>601</v>
      </c>
      <c r="J281" s="192" t="s">
        <v>602</v>
      </c>
      <c r="K281" s="192" t="s">
        <v>603</v>
      </c>
      <c r="L281" s="192" t="s">
        <v>604</v>
      </c>
      <c r="M281" s="192" t="s">
        <v>605</v>
      </c>
      <c r="N281" s="192" t="s">
        <v>623</v>
      </c>
      <c r="O281" s="192"/>
      <c r="P281" s="192"/>
      <c r="Q281" s="192"/>
      <c r="R281" s="192" t="s">
        <v>847</v>
      </c>
    </row>
    <row r="282" spans="1:18" ht="13.15" customHeight="1" x14ac:dyDescent="0.25">
      <c r="A282" s="192" t="s">
        <v>833</v>
      </c>
      <c r="B282" s="192" t="s">
        <v>485</v>
      </c>
      <c r="C282" s="192" t="s">
        <v>900</v>
      </c>
      <c r="D282" s="192">
        <v>47669.37</v>
      </c>
      <c r="E282" s="192">
        <v>67938.39</v>
      </c>
      <c r="F282" s="193"/>
      <c r="G282" s="193"/>
      <c r="H282" s="192" t="s">
        <v>901</v>
      </c>
      <c r="I282" s="192" t="s">
        <v>601</v>
      </c>
      <c r="J282" s="192" t="s">
        <v>602</v>
      </c>
      <c r="K282" s="192" t="s">
        <v>603</v>
      </c>
      <c r="L282" s="192" t="s">
        <v>604</v>
      </c>
      <c r="M282" s="192" t="s">
        <v>605</v>
      </c>
      <c r="N282" s="192" t="s">
        <v>623</v>
      </c>
      <c r="O282" s="192"/>
      <c r="P282" s="192"/>
      <c r="Q282" s="192"/>
      <c r="R282" s="192" t="s">
        <v>847</v>
      </c>
    </row>
    <row r="283" spans="1:18" ht="13.15" customHeight="1" x14ac:dyDescent="0.25">
      <c r="A283" s="192" t="s">
        <v>833</v>
      </c>
      <c r="B283" s="192" t="s">
        <v>898</v>
      </c>
      <c r="C283" s="192" t="s">
        <v>897</v>
      </c>
      <c r="D283" s="192"/>
      <c r="E283" s="192"/>
      <c r="F283" s="193"/>
      <c r="G283" s="193"/>
      <c r="H283" s="192" t="s">
        <v>899</v>
      </c>
      <c r="I283" s="192" t="s">
        <v>601</v>
      </c>
      <c r="J283" s="192" t="s">
        <v>602</v>
      </c>
      <c r="K283" s="192" t="s">
        <v>603</v>
      </c>
      <c r="L283" s="192" t="s">
        <v>604</v>
      </c>
      <c r="M283" s="192" t="s">
        <v>605</v>
      </c>
      <c r="N283" s="192" t="s">
        <v>623</v>
      </c>
      <c r="O283" s="192"/>
      <c r="P283" s="192"/>
      <c r="Q283" s="192"/>
      <c r="R283" s="192" t="s">
        <v>847</v>
      </c>
    </row>
    <row r="284" spans="1:18" ht="13.15" customHeight="1" x14ac:dyDescent="0.25">
      <c r="A284" s="192" t="s">
        <v>833</v>
      </c>
      <c r="B284" s="192" t="s">
        <v>895</v>
      </c>
      <c r="C284" s="192" t="s">
        <v>894</v>
      </c>
      <c r="D284" s="192"/>
      <c r="E284" s="192"/>
      <c r="F284" s="193"/>
      <c r="G284" s="193"/>
      <c r="H284" s="192" t="s">
        <v>896</v>
      </c>
      <c r="I284" s="192" t="s">
        <v>601</v>
      </c>
      <c r="J284" s="192" t="s">
        <v>602</v>
      </c>
      <c r="K284" s="192" t="s">
        <v>603</v>
      </c>
      <c r="L284" s="192" t="s">
        <v>604</v>
      </c>
      <c r="M284" s="192" t="s">
        <v>605</v>
      </c>
      <c r="N284" s="192" t="s">
        <v>623</v>
      </c>
      <c r="O284" s="192"/>
      <c r="P284" s="192"/>
      <c r="Q284" s="192"/>
      <c r="R284" s="192" t="s">
        <v>847</v>
      </c>
    </row>
    <row r="285" spans="1:18" ht="13.15" customHeight="1" x14ac:dyDescent="0.25">
      <c r="A285" s="192" t="s">
        <v>833</v>
      </c>
      <c r="B285" s="192" t="s">
        <v>489</v>
      </c>
      <c r="C285" s="192" t="s">
        <v>892</v>
      </c>
      <c r="D285" s="192">
        <v>37346.35</v>
      </c>
      <c r="E285" s="192">
        <v>53226.02</v>
      </c>
      <c r="F285" s="193"/>
      <c r="G285" s="193"/>
      <c r="H285" s="192" t="s">
        <v>893</v>
      </c>
      <c r="I285" s="192" t="s">
        <v>601</v>
      </c>
      <c r="J285" s="192" t="s">
        <v>602</v>
      </c>
      <c r="K285" s="192" t="s">
        <v>603</v>
      </c>
      <c r="L285" s="192" t="s">
        <v>604</v>
      </c>
      <c r="M285" s="192" t="s">
        <v>605</v>
      </c>
      <c r="N285" s="192" t="s">
        <v>623</v>
      </c>
      <c r="O285" s="192"/>
      <c r="P285" s="192"/>
      <c r="Q285" s="192"/>
      <c r="R285" s="192" t="s">
        <v>847</v>
      </c>
    </row>
    <row r="286" spans="1:18" ht="13.15" customHeight="1" x14ac:dyDescent="0.25">
      <c r="A286" s="192" t="s">
        <v>833</v>
      </c>
      <c r="B286" s="194"/>
      <c r="C286" s="192" t="s">
        <v>890</v>
      </c>
      <c r="D286" s="192"/>
      <c r="E286" s="192"/>
      <c r="F286" s="193"/>
      <c r="G286" s="193"/>
      <c r="H286" s="192" t="s">
        <v>891</v>
      </c>
      <c r="I286" s="192" t="s">
        <v>601</v>
      </c>
      <c r="J286" s="192" t="s">
        <v>602</v>
      </c>
      <c r="K286" s="192" t="s">
        <v>603</v>
      </c>
      <c r="L286" s="192" t="s">
        <v>604</v>
      </c>
      <c r="M286" s="192" t="s">
        <v>605</v>
      </c>
      <c r="N286" s="192" t="s">
        <v>623</v>
      </c>
      <c r="O286" s="192"/>
      <c r="P286" s="192"/>
      <c r="Q286" s="192"/>
      <c r="R286" s="192" t="s">
        <v>847</v>
      </c>
    </row>
    <row r="287" spans="1:18" ht="13.15" customHeight="1" x14ac:dyDescent="0.25">
      <c r="A287" s="192" t="s">
        <v>833</v>
      </c>
      <c r="B287" s="192" t="s">
        <v>427</v>
      </c>
      <c r="C287" s="192" t="s">
        <v>888</v>
      </c>
      <c r="D287" s="192">
        <v>23415.47</v>
      </c>
      <c r="E287" s="192">
        <v>33371.730000000003</v>
      </c>
      <c r="F287" s="193"/>
      <c r="G287" s="193"/>
      <c r="H287" s="192" t="s">
        <v>889</v>
      </c>
      <c r="I287" s="192" t="s">
        <v>601</v>
      </c>
      <c r="J287" s="192" t="s">
        <v>602</v>
      </c>
      <c r="K287" s="192" t="s">
        <v>603</v>
      </c>
      <c r="L287" s="192" t="s">
        <v>604</v>
      </c>
      <c r="M287" s="192" t="s">
        <v>605</v>
      </c>
      <c r="N287" s="192" t="s">
        <v>623</v>
      </c>
      <c r="O287" s="192"/>
      <c r="P287" s="192"/>
      <c r="Q287" s="192"/>
      <c r="R287" s="192" t="s">
        <v>847</v>
      </c>
    </row>
    <row r="288" spans="1:18" ht="13.15" customHeight="1" x14ac:dyDescent="0.25">
      <c r="A288" s="192" t="s">
        <v>833</v>
      </c>
      <c r="B288" s="192" t="s">
        <v>403</v>
      </c>
      <c r="C288" s="192" t="s">
        <v>886</v>
      </c>
      <c r="D288" s="192">
        <v>38326.99</v>
      </c>
      <c r="E288" s="192">
        <v>54623.63</v>
      </c>
      <c r="F288" s="193"/>
      <c r="G288" s="193"/>
      <c r="H288" s="192" t="s">
        <v>887</v>
      </c>
      <c r="I288" s="192" t="s">
        <v>601</v>
      </c>
      <c r="J288" s="192" t="s">
        <v>602</v>
      </c>
      <c r="K288" s="192" t="s">
        <v>603</v>
      </c>
      <c r="L288" s="192" t="s">
        <v>604</v>
      </c>
      <c r="M288" s="192" t="s">
        <v>605</v>
      </c>
      <c r="N288" s="192" t="s">
        <v>623</v>
      </c>
      <c r="O288" s="192"/>
      <c r="P288" s="192"/>
      <c r="Q288" s="192"/>
      <c r="R288" s="192" t="s">
        <v>847</v>
      </c>
    </row>
    <row r="289" spans="1:18" ht="13.15" customHeight="1" x14ac:dyDescent="0.25">
      <c r="A289" s="192" t="s">
        <v>833</v>
      </c>
      <c r="B289" s="194"/>
      <c r="C289" s="192" t="s">
        <v>884</v>
      </c>
      <c r="D289" s="192"/>
      <c r="E289" s="192"/>
      <c r="F289" s="193"/>
      <c r="G289" s="193"/>
      <c r="H289" s="192" t="s">
        <v>885</v>
      </c>
      <c r="I289" s="192" t="s">
        <v>601</v>
      </c>
      <c r="J289" s="192" t="s">
        <v>602</v>
      </c>
      <c r="K289" s="192" t="s">
        <v>603</v>
      </c>
      <c r="L289" s="192" t="s">
        <v>604</v>
      </c>
      <c r="M289" s="192" t="s">
        <v>605</v>
      </c>
      <c r="N289" s="192" t="s">
        <v>623</v>
      </c>
      <c r="O289" s="192"/>
      <c r="P289" s="192"/>
      <c r="Q289" s="192"/>
      <c r="R289" s="192" t="s">
        <v>847</v>
      </c>
    </row>
    <row r="290" spans="1:18" ht="13.15" customHeight="1" x14ac:dyDescent="0.25">
      <c r="A290" s="192" t="s">
        <v>833</v>
      </c>
      <c r="B290" s="192" t="s">
        <v>435</v>
      </c>
      <c r="C290" s="192" t="s">
        <v>906</v>
      </c>
      <c r="D290" s="192">
        <v>24956.18</v>
      </c>
      <c r="E290" s="192">
        <v>35567.550000000003</v>
      </c>
      <c r="F290" s="193"/>
      <c r="G290" s="193"/>
      <c r="H290" s="192" t="s">
        <v>907</v>
      </c>
      <c r="I290" s="192" t="s">
        <v>601</v>
      </c>
      <c r="J290" s="192" t="s">
        <v>602</v>
      </c>
      <c r="K290" s="192" t="s">
        <v>603</v>
      </c>
      <c r="L290" s="192" t="s">
        <v>604</v>
      </c>
      <c r="M290" s="192" t="s">
        <v>605</v>
      </c>
      <c r="N290" s="192" t="s">
        <v>623</v>
      </c>
      <c r="O290" s="192"/>
      <c r="P290" s="192"/>
      <c r="Q290" s="192"/>
      <c r="R290" s="192" t="s">
        <v>847</v>
      </c>
    </row>
    <row r="291" spans="1:18" ht="13.15" customHeight="1" x14ac:dyDescent="0.25">
      <c r="A291" s="192" t="s">
        <v>833</v>
      </c>
      <c r="B291" s="192" t="s">
        <v>409</v>
      </c>
      <c r="C291" s="192" t="s">
        <v>904</v>
      </c>
      <c r="D291" s="192">
        <v>38326.99</v>
      </c>
      <c r="E291" s="192">
        <v>54623.63</v>
      </c>
      <c r="F291" s="193"/>
      <c r="G291" s="193"/>
      <c r="H291" s="192" t="s">
        <v>905</v>
      </c>
      <c r="I291" s="192" t="s">
        <v>601</v>
      </c>
      <c r="J291" s="192" t="s">
        <v>602</v>
      </c>
      <c r="K291" s="192" t="s">
        <v>603</v>
      </c>
      <c r="L291" s="192" t="s">
        <v>604</v>
      </c>
      <c r="M291" s="192" t="s">
        <v>605</v>
      </c>
      <c r="N291" s="192" t="s">
        <v>623</v>
      </c>
      <c r="O291" s="192"/>
      <c r="P291" s="192"/>
      <c r="Q291" s="192"/>
      <c r="R291" s="192" t="s">
        <v>847</v>
      </c>
    </row>
    <row r="292" spans="1:18" ht="13.15" customHeight="1" x14ac:dyDescent="0.25">
      <c r="A292" s="192" t="s">
        <v>833</v>
      </c>
      <c r="B292" s="192" t="s">
        <v>480</v>
      </c>
      <c r="C292" s="192" t="s">
        <v>882</v>
      </c>
      <c r="D292" s="192">
        <v>21860.43</v>
      </c>
      <c r="E292" s="192">
        <v>31155.48</v>
      </c>
      <c r="F292" s="193"/>
      <c r="G292" s="193"/>
      <c r="H292" s="192" t="s">
        <v>883</v>
      </c>
      <c r="I292" s="192" t="s">
        <v>601</v>
      </c>
      <c r="J292" s="192" t="s">
        <v>602</v>
      </c>
      <c r="K292" s="192" t="s">
        <v>603</v>
      </c>
      <c r="L292" s="192" t="s">
        <v>604</v>
      </c>
      <c r="M292" s="192" t="s">
        <v>605</v>
      </c>
      <c r="N292" s="192" t="s">
        <v>623</v>
      </c>
      <c r="O292" s="192"/>
      <c r="P292" s="192"/>
      <c r="Q292" s="192"/>
      <c r="R292" s="192" t="s">
        <v>847</v>
      </c>
    </row>
    <row r="293" spans="1:18" ht="13.15" customHeight="1" x14ac:dyDescent="0.25">
      <c r="A293" s="192" t="s">
        <v>833</v>
      </c>
      <c r="B293" s="192" t="s">
        <v>478</v>
      </c>
      <c r="C293" s="192" t="s">
        <v>880</v>
      </c>
      <c r="D293" s="192">
        <v>47669.37</v>
      </c>
      <c r="E293" s="192">
        <v>67938.39</v>
      </c>
      <c r="F293" s="193"/>
      <c r="G293" s="193"/>
      <c r="H293" s="192" t="s">
        <v>881</v>
      </c>
      <c r="I293" s="192" t="s">
        <v>601</v>
      </c>
      <c r="J293" s="192" t="s">
        <v>602</v>
      </c>
      <c r="K293" s="192" t="s">
        <v>603</v>
      </c>
      <c r="L293" s="192" t="s">
        <v>604</v>
      </c>
      <c r="M293" s="192" t="s">
        <v>605</v>
      </c>
      <c r="N293" s="192" t="s">
        <v>623</v>
      </c>
      <c r="O293" s="192"/>
      <c r="P293" s="192"/>
      <c r="Q293" s="192"/>
      <c r="R293" s="192" t="s">
        <v>847</v>
      </c>
    </row>
    <row r="294" spans="1:18" ht="13.15" customHeight="1" x14ac:dyDescent="0.25">
      <c r="A294" s="192" t="s">
        <v>833</v>
      </c>
      <c r="B294" s="192" t="s">
        <v>117</v>
      </c>
      <c r="C294" s="192" t="s">
        <v>878</v>
      </c>
      <c r="D294" s="192">
        <v>24076.28</v>
      </c>
      <c r="E294" s="192">
        <v>34313.51</v>
      </c>
      <c r="F294" s="193"/>
      <c r="G294" s="193"/>
      <c r="H294" s="192" t="s">
        <v>879</v>
      </c>
      <c r="I294" s="192" t="s">
        <v>601</v>
      </c>
      <c r="J294" s="192" t="s">
        <v>602</v>
      </c>
      <c r="K294" s="192" t="s">
        <v>603</v>
      </c>
      <c r="L294" s="192" t="s">
        <v>604</v>
      </c>
      <c r="M294" s="192" t="s">
        <v>605</v>
      </c>
      <c r="N294" s="192" t="s">
        <v>641</v>
      </c>
      <c r="O294" s="192"/>
      <c r="P294" s="192" t="s">
        <v>704</v>
      </c>
      <c r="Q294" s="192" t="s">
        <v>875</v>
      </c>
      <c r="R294" s="192" t="s">
        <v>847</v>
      </c>
    </row>
    <row r="295" spans="1:18" ht="13.15" customHeight="1" x14ac:dyDescent="0.25">
      <c r="A295" s="192" t="s">
        <v>833</v>
      </c>
      <c r="B295" s="192" t="s">
        <v>106</v>
      </c>
      <c r="C295" s="192" t="s">
        <v>876</v>
      </c>
      <c r="D295" s="192">
        <v>34133.879999999997</v>
      </c>
      <c r="E295" s="192">
        <v>48647.61</v>
      </c>
      <c r="F295" s="193"/>
      <c r="G295" s="193"/>
      <c r="H295" s="192" t="s">
        <v>877</v>
      </c>
      <c r="I295" s="192" t="s">
        <v>601</v>
      </c>
      <c r="J295" s="192" t="s">
        <v>602</v>
      </c>
      <c r="K295" s="192" t="s">
        <v>603</v>
      </c>
      <c r="L295" s="192" t="s">
        <v>604</v>
      </c>
      <c r="M295" s="192" t="s">
        <v>605</v>
      </c>
      <c r="N295" s="192" t="s">
        <v>623</v>
      </c>
      <c r="O295" s="192"/>
      <c r="P295" s="192" t="s">
        <v>704</v>
      </c>
      <c r="Q295" s="192" t="s">
        <v>862</v>
      </c>
      <c r="R295" s="192" t="s">
        <v>847</v>
      </c>
    </row>
    <row r="296" spans="1:18" ht="13.15" customHeight="1" x14ac:dyDescent="0.25">
      <c r="A296" s="192" t="s">
        <v>833</v>
      </c>
      <c r="B296" s="192" t="s">
        <v>119</v>
      </c>
      <c r="C296" s="192" t="s">
        <v>873</v>
      </c>
      <c r="D296" s="192">
        <v>25796.35</v>
      </c>
      <c r="E296" s="192">
        <v>36764.959999999999</v>
      </c>
      <c r="F296" s="193"/>
      <c r="G296" s="193"/>
      <c r="H296" s="192" t="s">
        <v>874</v>
      </c>
      <c r="I296" s="192" t="s">
        <v>601</v>
      </c>
      <c r="J296" s="192" t="s">
        <v>602</v>
      </c>
      <c r="K296" s="192" t="s">
        <v>603</v>
      </c>
      <c r="L296" s="192" t="s">
        <v>604</v>
      </c>
      <c r="M296" s="192" t="s">
        <v>605</v>
      </c>
      <c r="N296" s="192" t="s">
        <v>623</v>
      </c>
      <c r="O296" s="192"/>
      <c r="P296" s="192" t="s">
        <v>704</v>
      </c>
      <c r="Q296" s="192" t="s">
        <v>875</v>
      </c>
      <c r="R296" s="192" t="s">
        <v>847</v>
      </c>
    </row>
    <row r="297" spans="1:18" ht="13.15" customHeight="1" x14ac:dyDescent="0.25">
      <c r="A297" s="192" t="s">
        <v>833</v>
      </c>
      <c r="B297" s="192" t="s">
        <v>108</v>
      </c>
      <c r="C297" s="192" t="s">
        <v>871</v>
      </c>
      <c r="D297" s="192">
        <v>34278.61</v>
      </c>
      <c r="E297" s="192">
        <v>48853.87</v>
      </c>
      <c r="F297" s="193"/>
      <c r="G297" s="193"/>
      <c r="H297" s="192" t="s">
        <v>872</v>
      </c>
      <c r="I297" s="192" t="s">
        <v>601</v>
      </c>
      <c r="J297" s="192" t="s">
        <v>602</v>
      </c>
      <c r="K297" s="192" t="s">
        <v>603</v>
      </c>
      <c r="L297" s="192" t="s">
        <v>604</v>
      </c>
      <c r="M297" s="192" t="s">
        <v>605</v>
      </c>
      <c r="N297" s="192" t="s">
        <v>623</v>
      </c>
      <c r="O297" s="192"/>
      <c r="P297" s="192" t="s">
        <v>704</v>
      </c>
      <c r="Q297" s="192" t="s">
        <v>862</v>
      </c>
      <c r="R297" s="192" t="s">
        <v>847</v>
      </c>
    </row>
    <row r="298" spans="1:18" ht="13.15" customHeight="1" x14ac:dyDescent="0.25">
      <c r="A298" s="192" t="s">
        <v>833</v>
      </c>
      <c r="B298" s="192" t="s">
        <v>491</v>
      </c>
      <c r="C298" s="192" t="s">
        <v>869</v>
      </c>
      <c r="D298" s="192">
        <v>37366.730000000003</v>
      </c>
      <c r="E298" s="192">
        <v>53255.06</v>
      </c>
      <c r="F298" s="193"/>
      <c r="G298" s="193"/>
      <c r="H298" s="192" t="s">
        <v>870</v>
      </c>
      <c r="I298" s="192" t="s">
        <v>601</v>
      </c>
      <c r="J298" s="192" t="s">
        <v>602</v>
      </c>
      <c r="K298" s="192" t="s">
        <v>603</v>
      </c>
      <c r="L298" s="192" t="s">
        <v>604</v>
      </c>
      <c r="M298" s="192" t="s">
        <v>605</v>
      </c>
      <c r="N298" s="192" t="s">
        <v>623</v>
      </c>
      <c r="O298" s="192"/>
      <c r="P298" s="192"/>
      <c r="Q298" s="192"/>
      <c r="R298" s="192" t="s">
        <v>847</v>
      </c>
    </row>
    <row r="299" spans="1:18" ht="13.15" customHeight="1" x14ac:dyDescent="0.25">
      <c r="A299" s="192" t="s">
        <v>833</v>
      </c>
      <c r="B299" s="192" t="s">
        <v>482</v>
      </c>
      <c r="C299" s="192" t="s">
        <v>867</v>
      </c>
      <c r="D299" s="192">
        <v>23410.51</v>
      </c>
      <c r="E299" s="192">
        <v>33364.660000000003</v>
      </c>
      <c r="F299" s="193"/>
      <c r="G299" s="193"/>
      <c r="H299" s="192" t="s">
        <v>868</v>
      </c>
      <c r="I299" s="192" t="s">
        <v>601</v>
      </c>
      <c r="J299" s="192" t="s">
        <v>602</v>
      </c>
      <c r="K299" s="192" t="s">
        <v>603</v>
      </c>
      <c r="L299" s="192" t="s">
        <v>604</v>
      </c>
      <c r="M299" s="192" t="s">
        <v>605</v>
      </c>
      <c r="N299" s="192" t="s">
        <v>623</v>
      </c>
      <c r="O299" s="192"/>
      <c r="P299" s="192"/>
      <c r="Q299" s="192"/>
      <c r="R299" s="192" t="s">
        <v>847</v>
      </c>
    </row>
    <row r="300" spans="1:18" ht="13.15" customHeight="1" x14ac:dyDescent="0.25">
      <c r="A300" s="192" t="s">
        <v>833</v>
      </c>
      <c r="B300" s="192" t="s">
        <v>479</v>
      </c>
      <c r="C300" s="192" t="s">
        <v>865</v>
      </c>
      <c r="D300" s="192">
        <v>38326.99</v>
      </c>
      <c r="E300" s="192">
        <v>54623.63</v>
      </c>
      <c r="F300" s="193"/>
      <c r="G300" s="193"/>
      <c r="H300" s="192" t="s">
        <v>866</v>
      </c>
      <c r="I300" s="192" t="s">
        <v>601</v>
      </c>
      <c r="J300" s="192" t="s">
        <v>602</v>
      </c>
      <c r="K300" s="192" t="s">
        <v>603</v>
      </c>
      <c r="L300" s="192" t="s">
        <v>604</v>
      </c>
      <c r="M300" s="192" t="s">
        <v>605</v>
      </c>
      <c r="N300" s="192" t="s">
        <v>623</v>
      </c>
      <c r="O300" s="192"/>
      <c r="P300" s="192"/>
      <c r="Q300" s="192"/>
      <c r="R300" s="192" t="s">
        <v>847</v>
      </c>
    </row>
    <row r="301" spans="1:18" ht="13.15" customHeight="1" x14ac:dyDescent="0.25">
      <c r="A301" s="192" t="s">
        <v>833</v>
      </c>
      <c r="B301" s="192" t="s">
        <v>495</v>
      </c>
      <c r="C301" s="192" t="s">
        <v>863</v>
      </c>
      <c r="D301" s="192">
        <v>25080.21</v>
      </c>
      <c r="E301" s="192">
        <v>35744.32</v>
      </c>
      <c r="F301" s="193"/>
      <c r="G301" s="193"/>
      <c r="H301" s="192" t="s">
        <v>864</v>
      </c>
      <c r="I301" s="192" t="s">
        <v>601</v>
      </c>
      <c r="J301" s="192" t="s">
        <v>602</v>
      </c>
      <c r="K301" s="192" t="s">
        <v>603</v>
      </c>
      <c r="L301" s="192" t="s">
        <v>604</v>
      </c>
      <c r="M301" s="192" t="s">
        <v>605</v>
      </c>
      <c r="N301" s="192" t="s">
        <v>623</v>
      </c>
      <c r="O301" s="192"/>
      <c r="P301" s="192"/>
      <c r="Q301" s="192"/>
      <c r="R301" s="192" t="s">
        <v>847</v>
      </c>
    </row>
    <row r="302" spans="1:18" ht="13.15" customHeight="1" x14ac:dyDescent="0.25">
      <c r="A302" s="192" t="s">
        <v>833</v>
      </c>
      <c r="B302" s="192" t="s">
        <v>487</v>
      </c>
      <c r="C302" s="192" t="s">
        <v>860</v>
      </c>
      <c r="D302" s="192">
        <v>38326.99</v>
      </c>
      <c r="E302" s="192">
        <v>54623.63</v>
      </c>
      <c r="F302" s="193"/>
      <c r="G302" s="193"/>
      <c r="H302" s="192" t="s">
        <v>861</v>
      </c>
      <c r="I302" s="192" t="s">
        <v>601</v>
      </c>
      <c r="J302" s="192" t="s">
        <v>602</v>
      </c>
      <c r="K302" s="192" t="s">
        <v>603</v>
      </c>
      <c r="L302" s="192" t="s">
        <v>604</v>
      </c>
      <c r="M302" s="192" t="s">
        <v>605</v>
      </c>
      <c r="N302" s="192" t="s">
        <v>623</v>
      </c>
      <c r="O302" s="192"/>
      <c r="P302" s="192"/>
      <c r="Q302" s="192" t="s">
        <v>862</v>
      </c>
      <c r="R302" s="192" t="s">
        <v>847</v>
      </c>
    </row>
    <row r="303" spans="1:18" ht="13.15" customHeight="1" x14ac:dyDescent="0.25">
      <c r="A303" s="192" t="s">
        <v>1536</v>
      </c>
      <c r="B303" s="192" t="s">
        <v>562</v>
      </c>
      <c r="C303" s="192" t="s">
        <v>1744</v>
      </c>
      <c r="D303" s="192">
        <v>9538.61</v>
      </c>
      <c r="E303" s="192">
        <v>13594.43</v>
      </c>
      <c r="F303" s="193"/>
      <c r="G303" s="193"/>
      <c r="H303" s="192" t="s">
        <v>1745</v>
      </c>
      <c r="I303" s="192" t="s">
        <v>601</v>
      </c>
      <c r="J303" s="192" t="s">
        <v>602</v>
      </c>
      <c r="K303" s="192" t="s">
        <v>603</v>
      </c>
      <c r="L303" s="192" t="s">
        <v>604</v>
      </c>
      <c r="M303" s="192" t="s">
        <v>605</v>
      </c>
      <c r="N303" s="192" t="s">
        <v>623</v>
      </c>
      <c r="O303" s="192"/>
      <c r="P303" s="192"/>
      <c r="Q303" s="192"/>
      <c r="R303" s="192" t="s">
        <v>847</v>
      </c>
    </row>
    <row r="304" spans="1:18" ht="13.15" customHeight="1" x14ac:dyDescent="0.25">
      <c r="A304" s="192" t="s">
        <v>833</v>
      </c>
      <c r="B304" s="192" t="s">
        <v>858</v>
      </c>
      <c r="C304" s="192" t="s">
        <v>857</v>
      </c>
      <c r="D304" s="192"/>
      <c r="E304" s="192"/>
      <c r="F304" s="193"/>
      <c r="G304" s="193"/>
      <c r="H304" s="192" t="s">
        <v>859</v>
      </c>
      <c r="I304" s="192" t="s">
        <v>601</v>
      </c>
      <c r="J304" s="192" t="s">
        <v>602</v>
      </c>
      <c r="K304" s="192" t="s">
        <v>603</v>
      </c>
      <c r="L304" s="192" t="s">
        <v>604</v>
      </c>
      <c r="M304" s="192" t="s">
        <v>605</v>
      </c>
      <c r="N304" s="192" t="s">
        <v>632</v>
      </c>
      <c r="O304" s="192"/>
      <c r="P304" s="192"/>
      <c r="Q304" s="192"/>
      <c r="R304" s="192" t="s">
        <v>847</v>
      </c>
    </row>
    <row r="305" spans="1:18" ht="13.15" customHeight="1" x14ac:dyDescent="0.25">
      <c r="A305" s="192" t="s">
        <v>1536</v>
      </c>
      <c r="B305" s="192" t="s">
        <v>1742</v>
      </c>
      <c r="C305" s="192" t="s">
        <v>1741</v>
      </c>
      <c r="D305" s="192"/>
      <c r="E305" s="192"/>
      <c r="F305" s="193"/>
      <c r="G305" s="193"/>
      <c r="H305" s="192" t="s">
        <v>1743</v>
      </c>
      <c r="I305" s="192" t="s">
        <v>601</v>
      </c>
      <c r="J305" s="192" t="s">
        <v>602</v>
      </c>
      <c r="K305" s="192" t="s">
        <v>603</v>
      </c>
      <c r="L305" s="192" t="s">
        <v>604</v>
      </c>
      <c r="M305" s="192" t="s">
        <v>605</v>
      </c>
      <c r="N305" s="192" t="s">
        <v>728</v>
      </c>
      <c r="O305" s="192"/>
      <c r="P305" s="192"/>
      <c r="Q305" s="192"/>
      <c r="R305" s="192" t="s">
        <v>649</v>
      </c>
    </row>
    <row r="306" spans="1:18" ht="13.15" customHeight="1" x14ac:dyDescent="0.25">
      <c r="A306" s="192" t="s">
        <v>1536</v>
      </c>
      <c r="B306" s="192" t="s">
        <v>1739</v>
      </c>
      <c r="C306" s="192" t="s">
        <v>1738</v>
      </c>
      <c r="D306" s="192"/>
      <c r="E306" s="192"/>
      <c r="F306" s="193"/>
      <c r="G306" s="193"/>
      <c r="H306" s="192" t="s">
        <v>1740</v>
      </c>
      <c r="I306" s="192" t="s">
        <v>601</v>
      </c>
      <c r="J306" s="192" t="s">
        <v>602</v>
      </c>
      <c r="K306" s="192" t="s">
        <v>603</v>
      </c>
      <c r="L306" s="192" t="s">
        <v>604</v>
      </c>
      <c r="M306" s="192" t="s">
        <v>605</v>
      </c>
      <c r="N306" s="192" t="s">
        <v>728</v>
      </c>
      <c r="O306" s="192"/>
      <c r="P306" s="192"/>
      <c r="Q306" s="192"/>
      <c r="R306" s="192" t="s">
        <v>649</v>
      </c>
    </row>
    <row r="307" spans="1:18" ht="13.15" customHeight="1" x14ac:dyDescent="0.25">
      <c r="A307" s="192" t="s">
        <v>1536</v>
      </c>
      <c r="B307" s="192" t="s">
        <v>1736</v>
      </c>
      <c r="C307" s="192" t="s">
        <v>1735</v>
      </c>
      <c r="D307" s="192"/>
      <c r="E307" s="192"/>
      <c r="F307" s="193"/>
      <c r="G307" s="193"/>
      <c r="H307" s="192" t="s">
        <v>1737</v>
      </c>
      <c r="I307" s="192" t="s">
        <v>601</v>
      </c>
      <c r="J307" s="192" t="s">
        <v>602</v>
      </c>
      <c r="K307" s="192" t="s">
        <v>603</v>
      </c>
      <c r="L307" s="192" t="s">
        <v>695</v>
      </c>
      <c r="M307" s="192" t="s">
        <v>605</v>
      </c>
      <c r="N307" s="192" t="s">
        <v>1555</v>
      </c>
      <c r="O307" s="192"/>
      <c r="P307" s="192"/>
      <c r="Q307" s="192"/>
      <c r="R307" s="192" t="s">
        <v>649</v>
      </c>
    </row>
    <row r="308" spans="1:18" ht="13.15" customHeight="1" x14ac:dyDescent="0.25">
      <c r="A308" s="192" t="s">
        <v>833</v>
      </c>
      <c r="B308" s="192" t="s">
        <v>855</v>
      </c>
      <c r="C308" s="192" t="s">
        <v>854</v>
      </c>
      <c r="D308" s="192"/>
      <c r="E308" s="192"/>
      <c r="F308" s="193"/>
      <c r="G308" s="193"/>
      <c r="H308" s="192" t="s">
        <v>856</v>
      </c>
      <c r="I308" s="192" t="s">
        <v>601</v>
      </c>
      <c r="J308" s="192" t="s">
        <v>602</v>
      </c>
      <c r="K308" s="192" t="s">
        <v>603</v>
      </c>
      <c r="L308" s="192" t="s">
        <v>604</v>
      </c>
      <c r="M308" s="192" t="s">
        <v>605</v>
      </c>
      <c r="N308" s="192" t="s">
        <v>728</v>
      </c>
      <c r="O308" s="192"/>
      <c r="P308" s="192"/>
      <c r="Q308" s="192"/>
      <c r="R308" s="192" t="s">
        <v>847</v>
      </c>
    </row>
    <row r="309" spans="1:18" ht="13.15" customHeight="1" x14ac:dyDescent="0.25">
      <c r="A309" s="192" t="s">
        <v>1536</v>
      </c>
      <c r="B309" s="192" t="s">
        <v>1733</v>
      </c>
      <c r="C309" s="192" t="s">
        <v>1732</v>
      </c>
      <c r="D309" s="192"/>
      <c r="E309" s="192"/>
      <c r="F309" s="193"/>
      <c r="G309" s="193"/>
      <c r="H309" s="192" t="s">
        <v>1734</v>
      </c>
      <c r="I309" s="192" t="s">
        <v>601</v>
      </c>
      <c r="J309" s="192" t="s">
        <v>602</v>
      </c>
      <c r="K309" s="192" t="s">
        <v>603</v>
      </c>
      <c r="L309" s="192" t="s">
        <v>604</v>
      </c>
      <c r="M309" s="192" t="s">
        <v>605</v>
      </c>
      <c r="N309" s="192"/>
      <c r="O309" s="192"/>
      <c r="P309" s="192"/>
      <c r="Q309" s="192"/>
      <c r="R309" s="192" t="s">
        <v>847</v>
      </c>
    </row>
    <row r="310" spans="1:18" ht="13.15" customHeight="1" x14ac:dyDescent="0.25">
      <c r="A310" s="192" t="s">
        <v>1536</v>
      </c>
      <c r="B310" s="192" t="s">
        <v>1730</v>
      </c>
      <c r="C310" s="192" t="s">
        <v>1729</v>
      </c>
      <c r="D310" s="192"/>
      <c r="E310" s="192"/>
      <c r="F310" s="193"/>
      <c r="G310" s="193"/>
      <c r="H310" s="192" t="s">
        <v>1731</v>
      </c>
      <c r="I310" s="192" t="s">
        <v>601</v>
      </c>
      <c r="J310" s="192" t="s">
        <v>602</v>
      </c>
      <c r="K310" s="192" t="s">
        <v>603</v>
      </c>
      <c r="L310" s="192" t="s">
        <v>604</v>
      </c>
      <c r="M310" s="192" t="s">
        <v>605</v>
      </c>
      <c r="N310" s="192"/>
      <c r="O310" s="192"/>
      <c r="P310" s="192"/>
      <c r="Q310" s="192"/>
      <c r="R310" s="192" t="s">
        <v>847</v>
      </c>
    </row>
    <row r="311" spans="1:18" ht="13.15" customHeight="1" x14ac:dyDescent="0.25">
      <c r="A311" s="192" t="s">
        <v>1536</v>
      </c>
      <c r="B311" s="192" t="s">
        <v>134</v>
      </c>
      <c r="C311" s="192" t="s">
        <v>1727</v>
      </c>
      <c r="D311" s="192">
        <v>4474.3999999999996</v>
      </c>
      <c r="E311" s="192">
        <v>6376.91</v>
      </c>
      <c r="F311" s="193"/>
      <c r="G311" s="193"/>
      <c r="H311" s="192" t="s">
        <v>1728</v>
      </c>
      <c r="I311" s="192" t="s">
        <v>601</v>
      </c>
      <c r="J311" s="192" t="s">
        <v>602</v>
      </c>
      <c r="K311" s="192" t="s">
        <v>603</v>
      </c>
      <c r="L311" s="192" t="s">
        <v>604</v>
      </c>
      <c r="M311" s="192" t="s">
        <v>605</v>
      </c>
      <c r="N311" s="192"/>
      <c r="O311" s="192"/>
      <c r="P311" s="192"/>
      <c r="Q311" s="192"/>
      <c r="R311" s="192" t="s">
        <v>847</v>
      </c>
    </row>
    <row r="312" spans="1:18" ht="13.15" customHeight="1" x14ac:dyDescent="0.25">
      <c r="A312" s="192" t="s">
        <v>1536</v>
      </c>
      <c r="B312" s="192" t="s">
        <v>1725</v>
      </c>
      <c r="C312" s="192" t="s">
        <v>1724</v>
      </c>
      <c r="D312" s="192"/>
      <c r="E312" s="192"/>
      <c r="F312" s="193"/>
      <c r="G312" s="193"/>
      <c r="H312" s="192" t="s">
        <v>1726</v>
      </c>
      <c r="I312" s="192" t="s">
        <v>601</v>
      </c>
      <c r="J312" s="192" t="s">
        <v>602</v>
      </c>
      <c r="K312" s="192" t="s">
        <v>603</v>
      </c>
      <c r="L312" s="192" t="s">
        <v>604</v>
      </c>
      <c r="M312" s="192" t="s">
        <v>605</v>
      </c>
      <c r="N312" s="192" t="s">
        <v>1555</v>
      </c>
      <c r="O312" s="192"/>
      <c r="P312" s="192"/>
      <c r="Q312" s="192"/>
      <c r="R312" s="192" t="s">
        <v>649</v>
      </c>
    </row>
    <row r="313" spans="1:18" ht="13.15" customHeight="1" x14ac:dyDescent="0.25">
      <c r="A313" s="192" t="s">
        <v>1536</v>
      </c>
      <c r="B313" s="192" t="s">
        <v>303</v>
      </c>
      <c r="C313" s="192" t="s">
        <v>1722</v>
      </c>
      <c r="D313" s="192">
        <v>3.31</v>
      </c>
      <c r="E313" s="192">
        <v>4.72</v>
      </c>
      <c r="F313" s="193"/>
      <c r="G313" s="193"/>
      <c r="H313" s="192" t="s">
        <v>1723</v>
      </c>
      <c r="I313" s="192" t="s">
        <v>601</v>
      </c>
      <c r="J313" s="192" t="s">
        <v>602</v>
      </c>
      <c r="K313" s="192" t="s">
        <v>603</v>
      </c>
      <c r="L313" s="192" t="s">
        <v>604</v>
      </c>
      <c r="M313" s="192" t="s">
        <v>605</v>
      </c>
      <c r="N313" s="192"/>
      <c r="O313" s="192"/>
      <c r="P313" s="192" t="s">
        <v>704</v>
      </c>
      <c r="Q313" s="192" t="s">
        <v>1611</v>
      </c>
      <c r="R313" s="192" t="s">
        <v>847</v>
      </c>
    </row>
    <row r="314" spans="1:18" ht="13.15" customHeight="1" x14ac:dyDescent="0.25">
      <c r="A314" s="192" t="s">
        <v>1536</v>
      </c>
      <c r="B314" s="192" t="s">
        <v>132</v>
      </c>
      <c r="C314" s="192" t="s">
        <v>1720</v>
      </c>
      <c r="D314" s="192">
        <v>959.15</v>
      </c>
      <c r="E314" s="192">
        <v>1366.98</v>
      </c>
      <c r="F314" s="193"/>
      <c r="G314" s="193"/>
      <c r="H314" s="192" t="s">
        <v>1721</v>
      </c>
      <c r="I314" s="192" t="s">
        <v>601</v>
      </c>
      <c r="J314" s="192" t="s">
        <v>602</v>
      </c>
      <c r="K314" s="192" t="s">
        <v>603</v>
      </c>
      <c r="L314" s="192" t="s">
        <v>604</v>
      </c>
      <c r="M314" s="192" t="s">
        <v>605</v>
      </c>
      <c r="N314" s="192"/>
      <c r="O314" s="192"/>
      <c r="P314" s="192" t="s">
        <v>704</v>
      </c>
      <c r="Q314" s="192" t="s">
        <v>1013</v>
      </c>
      <c r="R314" s="192" t="s">
        <v>847</v>
      </c>
    </row>
    <row r="315" spans="1:18" ht="13.15" customHeight="1" x14ac:dyDescent="0.25">
      <c r="A315" s="192" t="s">
        <v>1536</v>
      </c>
      <c r="B315" s="192" t="s">
        <v>1718</v>
      </c>
      <c r="C315" s="192" t="s">
        <v>1717</v>
      </c>
      <c r="D315" s="192"/>
      <c r="E315" s="192"/>
      <c r="F315" s="193"/>
      <c r="G315" s="193"/>
      <c r="H315" s="192" t="s">
        <v>1719</v>
      </c>
      <c r="I315" s="192" t="s">
        <v>601</v>
      </c>
      <c r="J315" s="192" t="s">
        <v>602</v>
      </c>
      <c r="K315" s="192" t="s">
        <v>603</v>
      </c>
      <c r="L315" s="192" t="s">
        <v>604</v>
      </c>
      <c r="M315" s="192" t="s">
        <v>605</v>
      </c>
      <c r="N315" s="192"/>
      <c r="O315" s="192"/>
      <c r="P315" s="192"/>
      <c r="Q315" s="192"/>
      <c r="R315" s="192" t="s">
        <v>847</v>
      </c>
    </row>
    <row r="316" spans="1:18" ht="13.15" customHeight="1" x14ac:dyDescent="0.25">
      <c r="A316" s="192" t="s">
        <v>1536</v>
      </c>
      <c r="B316" s="192" t="s">
        <v>1715</v>
      </c>
      <c r="C316" s="192" t="s">
        <v>1714</v>
      </c>
      <c r="D316" s="192"/>
      <c r="E316" s="192"/>
      <c r="F316" s="193"/>
      <c r="G316" s="193"/>
      <c r="H316" s="192" t="s">
        <v>1716</v>
      </c>
      <c r="I316" s="192" t="s">
        <v>601</v>
      </c>
      <c r="J316" s="192" t="s">
        <v>602</v>
      </c>
      <c r="K316" s="192" t="s">
        <v>1002</v>
      </c>
      <c r="L316" s="192" t="s">
        <v>695</v>
      </c>
      <c r="M316" s="192" t="s">
        <v>605</v>
      </c>
      <c r="N316" s="192" t="s">
        <v>1555</v>
      </c>
      <c r="O316" s="192"/>
      <c r="P316" s="192"/>
      <c r="Q316" s="192"/>
      <c r="R316" s="192" t="s">
        <v>847</v>
      </c>
    </row>
    <row r="317" spans="1:18" ht="13.15" customHeight="1" x14ac:dyDescent="0.25">
      <c r="A317" s="192" t="s">
        <v>1536</v>
      </c>
      <c r="B317" s="192" t="s">
        <v>1712</v>
      </c>
      <c r="C317" s="192" t="s">
        <v>1711</v>
      </c>
      <c r="D317" s="192"/>
      <c r="E317" s="192"/>
      <c r="F317" s="193"/>
      <c r="G317" s="193"/>
      <c r="H317" s="192" t="s">
        <v>1713</v>
      </c>
      <c r="I317" s="192" t="s">
        <v>601</v>
      </c>
      <c r="J317" s="192" t="s">
        <v>602</v>
      </c>
      <c r="K317" s="192" t="s">
        <v>668</v>
      </c>
      <c r="L317" s="192" t="s">
        <v>604</v>
      </c>
      <c r="M317" s="192" t="s">
        <v>605</v>
      </c>
      <c r="N317" s="192"/>
      <c r="O317" s="192"/>
      <c r="P317" s="192"/>
      <c r="Q317" s="192"/>
      <c r="R317" s="192" t="s">
        <v>847</v>
      </c>
    </row>
    <row r="318" spans="1:18" ht="13.15" customHeight="1" x14ac:dyDescent="0.25">
      <c r="A318" s="192" t="s">
        <v>1536</v>
      </c>
      <c r="B318" s="192" t="s">
        <v>1709</v>
      </c>
      <c r="C318" s="192" t="s">
        <v>1708</v>
      </c>
      <c r="D318" s="192">
        <v>715.51</v>
      </c>
      <c r="E318" s="192">
        <v>1019.74</v>
      </c>
      <c r="F318" s="193"/>
      <c r="G318" s="193"/>
      <c r="H318" s="192" t="s">
        <v>1710</v>
      </c>
      <c r="I318" s="192" t="s">
        <v>601</v>
      </c>
      <c r="J318" s="192" t="s">
        <v>602</v>
      </c>
      <c r="K318" s="192" t="s">
        <v>603</v>
      </c>
      <c r="L318" s="192" t="s">
        <v>604</v>
      </c>
      <c r="M318" s="192" t="s">
        <v>605</v>
      </c>
      <c r="N318" s="192"/>
      <c r="O318" s="192"/>
      <c r="P318" s="192"/>
      <c r="Q318" s="192"/>
      <c r="R318" s="192" t="s">
        <v>1682</v>
      </c>
    </row>
    <row r="319" spans="1:18" ht="13.15" customHeight="1" x14ac:dyDescent="0.25">
      <c r="A319" s="192" t="s">
        <v>1536</v>
      </c>
      <c r="B319" s="192" t="s">
        <v>1706</v>
      </c>
      <c r="C319" s="192" t="s">
        <v>1705</v>
      </c>
      <c r="D319" s="192"/>
      <c r="E319" s="192"/>
      <c r="F319" s="193"/>
      <c r="G319" s="193"/>
      <c r="H319" s="192" t="s">
        <v>1707</v>
      </c>
      <c r="I319" s="192" t="s">
        <v>601</v>
      </c>
      <c r="J319" s="192" t="s">
        <v>602</v>
      </c>
      <c r="K319" s="192" t="s">
        <v>603</v>
      </c>
      <c r="L319" s="192" t="s">
        <v>708</v>
      </c>
      <c r="M319" s="192" t="s">
        <v>605</v>
      </c>
      <c r="N319" s="192" t="s">
        <v>1555</v>
      </c>
      <c r="O319" s="192"/>
      <c r="P319" s="192"/>
      <c r="Q319" s="192"/>
      <c r="R319" s="192" t="s">
        <v>649</v>
      </c>
    </row>
    <row r="320" spans="1:18" ht="13.15" customHeight="1" x14ac:dyDescent="0.25">
      <c r="A320" s="192" t="s">
        <v>1536</v>
      </c>
      <c r="B320" s="194"/>
      <c r="C320" s="192" t="s">
        <v>1703</v>
      </c>
      <c r="D320" s="192"/>
      <c r="E320" s="192"/>
      <c r="F320" s="193"/>
      <c r="G320" s="193"/>
      <c r="H320" s="192" t="s">
        <v>1704</v>
      </c>
      <c r="I320" s="192" t="s">
        <v>601</v>
      </c>
      <c r="J320" s="192" t="s">
        <v>602</v>
      </c>
      <c r="K320" s="192" t="s">
        <v>603</v>
      </c>
      <c r="L320" s="192" t="s">
        <v>604</v>
      </c>
      <c r="M320" s="192" t="s">
        <v>605</v>
      </c>
      <c r="N320" s="192"/>
      <c r="O320" s="192"/>
      <c r="P320" s="192"/>
      <c r="Q320" s="192"/>
      <c r="R320" s="192" t="s">
        <v>847</v>
      </c>
    </row>
    <row r="321" spans="1:18" ht="13.15" customHeight="1" x14ac:dyDescent="0.25">
      <c r="A321" s="192" t="s">
        <v>833</v>
      </c>
      <c r="B321" s="194"/>
      <c r="C321" s="192" t="s">
        <v>852</v>
      </c>
      <c r="D321" s="192"/>
      <c r="E321" s="192"/>
      <c r="F321" s="193"/>
      <c r="G321" s="193"/>
      <c r="H321" s="192" t="s">
        <v>853</v>
      </c>
      <c r="I321" s="192" t="s">
        <v>601</v>
      </c>
      <c r="J321" s="192" t="s">
        <v>602</v>
      </c>
      <c r="K321" s="192" t="s">
        <v>603</v>
      </c>
      <c r="L321" s="192" t="s">
        <v>604</v>
      </c>
      <c r="M321" s="192" t="s">
        <v>605</v>
      </c>
      <c r="N321" s="192"/>
      <c r="O321" s="192"/>
      <c r="P321" s="192"/>
      <c r="Q321" s="192"/>
      <c r="R321" s="192" t="s">
        <v>847</v>
      </c>
    </row>
    <row r="322" spans="1:18" ht="13.15" customHeight="1" x14ac:dyDescent="0.25">
      <c r="A322" s="192" t="s">
        <v>833</v>
      </c>
      <c r="B322" s="194"/>
      <c r="C322" s="192" t="s">
        <v>850</v>
      </c>
      <c r="D322" s="192"/>
      <c r="E322" s="192"/>
      <c r="F322" s="193"/>
      <c r="G322" s="193"/>
      <c r="H322" s="192" t="s">
        <v>851</v>
      </c>
      <c r="I322" s="192" t="s">
        <v>601</v>
      </c>
      <c r="J322" s="192" t="s">
        <v>602</v>
      </c>
      <c r="K322" s="192" t="s">
        <v>603</v>
      </c>
      <c r="L322" s="192" t="s">
        <v>604</v>
      </c>
      <c r="M322" s="192" t="s">
        <v>605</v>
      </c>
      <c r="N322" s="192"/>
      <c r="O322" s="192"/>
      <c r="P322" s="192"/>
      <c r="Q322" s="192"/>
      <c r="R322" s="192" t="s">
        <v>847</v>
      </c>
    </row>
    <row r="323" spans="1:18" ht="13.15" customHeight="1" x14ac:dyDescent="0.25">
      <c r="A323" s="192" t="s">
        <v>1536</v>
      </c>
      <c r="B323" s="192" t="s">
        <v>1701</v>
      </c>
      <c r="C323" s="192" t="s">
        <v>1700</v>
      </c>
      <c r="D323" s="192"/>
      <c r="E323" s="192"/>
      <c r="F323" s="193"/>
      <c r="G323" s="193"/>
      <c r="H323" s="192" t="s">
        <v>1702</v>
      </c>
      <c r="I323" s="192" t="s">
        <v>601</v>
      </c>
      <c r="J323" s="192" t="s">
        <v>602</v>
      </c>
      <c r="K323" s="192" t="s">
        <v>1002</v>
      </c>
      <c r="L323" s="192" t="s">
        <v>604</v>
      </c>
      <c r="M323" s="192" t="s">
        <v>605</v>
      </c>
      <c r="N323" s="192" t="s">
        <v>1555</v>
      </c>
      <c r="O323" s="192"/>
      <c r="P323" s="192"/>
      <c r="Q323" s="192"/>
      <c r="R323" s="192" t="s">
        <v>649</v>
      </c>
    </row>
    <row r="324" spans="1:18" ht="13.15" customHeight="1" x14ac:dyDescent="0.25">
      <c r="A324" s="192" t="s">
        <v>1536</v>
      </c>
      <c r="B324" s="192" t="s">
        <v>1698</v>
      </c>
      <c r="C324" s="192" t="s">
        <v>1697</v>
      </c>
      <c r="D324" s="192"/>
      <c r="E324" s="192"/>
      <c r="F324" s="193"/>
      <c r="G324" s="193"/>
      <c r="H324" s="192" t="s">
        <v>1699</v>
      </c>
      <c r="I324" s="192" t="s">
        <v>601</v>
      </c>
      <c r="J324" s="192" t="s">
        <v>602</v>
      </c>
      <c r="K324" s="192" t="s">
        <v>603</v>
      </c>
      <c r="L324" s="192" t="s">
        <v>604</v>
      </c>
      <c r="M324" s="192" t="s">
        <v>605</v>
      </c>
      <c r="N324" s="192" t="s">
        <v>1555</v>
      </c>
      <c r="O324" s="192"/>
      <c r="P324" s="192"/>
      <c r="Q324" s="192"/>
      <c r="R324" s="192" t="s">
        <v>649</v>
      </c>
    </row>
    <row r="325" spans="1:18" ht="13.15" customHeight="1" x14ac:dyDescent="0.25">
      <c r="A325" s="192" t="s">
        <v>1536</v>
      </c>
      <c r="B325" s="192" t="s">
        <v>1695</v>
      </c>
      <c r="C325" s="192" t="s">
        <v>1694</v>
      </c>
      <c r="D325" s="192"/>
      <c r="E325" s="192"/>
      <c r="F325" s="193"/>
      <c r="G325" s="193"/>
      <c r="H325" s="192" t="s">
        <v>1696</v>
      </c>
      <c r="I325" s="192" t="s">
        <v>601</v>
      </c>
      <c r="J325" s="192" t="s">
        <v>602</v>
      </c>
      <c r="K325" s="192" t="s">
        <v>603</v>
      </c>
      <c r="L325" s="192" t="s">
        <v>1431</v>
      </c>
      <c r="M325" s="192" t="s">
        <v>605</v>
      </c>
      <c r="N325" s="192" t="s">
        <v>1555</v>
      </c>
      <c r="O325" s="192"/>
      <c r="P325" s="192"/>
      <c r="Q325" s="192"/>
      <c r="R325" s="192" t="s">
        <v>649</v>
      </c>
    </row>
    <row r="326" spans="1:18" ht="13.15" customHeight="1" x14ac:dyDescent="0.25">
      <c r="A326" s="192" t="s">
        <v>1536</v>
      </c>
      <c r="B326" s="194"/>
      <c r="C326" s="192" t="s">
        <v>1692</v>
      </c>
      <c r="D326" s="192">
        <v>31896.25</v>
      </c>
      <c r="E326" s="192">
        <v>45458.54</v>
      </c>
      <c r="F326" s="193"/>
      <c r="G326" s="193"/>
      <c r="H326" s="192" t="s">
        <v>1693</v>
      </c>
      <c r="I326" s="195" t="s">
        <v>622</v>
      </c>
      <c r="J326" s="192" t="s">
        <v>602</v>
      </c>
      <c r="K326" s="192" t="s">
        <v>603</v>
      </c>
      <c r="L326" s="192" t="s">
        <v>604</v>
      </c>
      <c r="M326" s="192" t="s">
        <v>605</v>
      </c>
      <c r="N326" s="192"/>
      <c r="O326" s="192"/>
      <c r="P326" s="192"/>
      <c r="Q326" s="192"/>
      <c r="R326" s="192" t="s">
        <v>1682</v>
      </c>
    </row>
    <row r="327" spans="1:18" ht="13.15" customHeight="1" x14ac:dyDescent="0.25">
      <c r="A327" s="192" t="s">
        <v>1536</v>
      </c>
      <c r="B327" s="194"/>
      <c r="C327" s="192" t="s">
        <v>1690</v>
      </c>
      <c r="D327" s="192">
        <v>36288.51</v>
      </c>
      <c r="E327" s="192">
        <v>51718.38</v>
      </c>
      <c r="F327" s="193"/>
      <c r="G327" s="193"/>
      <c r="H327" s="192" t="s">
        <v>1691</v>
      </c>
      <c r="I327" s="195" t="s">
        <v>622</v>
      </c>
      <c r="J327" s="192" t="s">
        <v>602</v>
      </c>
      <c r="K327" s="192" t="s">
        <v>603</v>
      </c>
      <c r="L327" s="192" t="s">
        <v>604</v>
      </c>
      <c r="M327" s="192" t="s">
        <v>605</v>
      </c>
      <c r="N327" s="192"/>
      <c r="O327" s="192"/>
      <c r="P327" s="192"/>
      <c r="Q327" s="192"/>
      <c r="R327" s="192" t="s">
        <v>1682</v>
      </c>
    </row>
    <row r="328" spans="1:18" ht="13.15" customHeight="1" x14ac:dyDescent="0.25">
      <c r="A328" s="192" t="s">
        <v>1536</v>
      </c>
      <c r="B328" s="194"/>
      <c r="C328" s="192" t="s">
        <v>1688</v>
      </c>
      <c r="D328" s="192">
        <v>32805.25</v>
      </c>
      <c r="E328" s="192">
        <v>46754.04</v>
      </c>
      <c r="F328" s="193"/>
      <c r="G328" s="193"/>
      <c r="H328" s="192" t="s">
        <v>1689</v>
      </c>
      <c r="I328" s="195" t="s">
        <v>622</v>
      </c>
      <c r="J328" s="192" t="s">
        <v>602</v>
      </c>
      <c r="K328" s="192" t="s">
        <v>603</v>
      </c>
      <c r="L328" s="192" t="s">
        <v>604</v>
      </c>
      <c r="M328" s="192" t="s">
        <v>605</v>
      </c>
      <c r="N328" s="192"/>
      <c r="O328" s="192"/>
      <c r="P328" s="192"/>
      <c r="Q328" s="192"/>
      <c r="R328" s="192" t="s">
        <v>1682</v>
      </c>
    </row>
    <row r="329" spans="1:18" ht="13.15" customHeight="1" x14ac:dyDescent="0.25">
      <c r="A329" s="192" t="s">
        <v>1536</v>
      </c>
      <c r="B329" s="194"/>
      <c r="C329" s="192" t="s">
        <v>1686</v>
      </c>
      <c r="D329" s="192">
        <v>36288.51</v>
      </c>
      <c r="E329" s="192">
        <v>51718.38</v>
      </c>
      <c r="F329" s="193"/>
      <c r="G329" s="193"/>
      <c r="H329" s="192" t="s">
        <v>1687</v>
      </c>
      <c r="I329" s="195" t="s">
        <v>622</v>
      </c>
      <c r="J329" s="192" t="s">
        <v>602</v>
      </c>
      <c r="K329" s="192" t="s">
        <v>603</v>
      </c>
      <c r="L329" s="192" t="s">
        <v>604</v>
      </c>
      <c r="M329" s="192" t="s">
        <v>605</v>
      </c>
      <c r="N329" s="192"/>
      <c r="O329" s="192"/>
      <c r="P329" s="192"/>
      <c r="Q329" s="192"/>
      <c r="R329" s="192" t="s">
        <v>1682</v>
      </c>
    </row>
    <row r="330" spans="1:18" ht="13.15" customHeight="1" x14ac:dyDescent="0.25">
      <c r="A330" s="192" t="s">
        <v>1536</v>
      </c>
      <c r="B330" s="192" t="s">
        <v>1684</v>
      </c>
      <c r="C330" s="192" t="s">
        <v>1683</v>
      </c>
      <c r="D330" s="192"/>
      <c r="E330" s="192"/>
      <c r="F330" s="193"/>
      <c r="G330" s="193"/>
      <c r="H330" s="192" t="s">
        <v>1685</v>
      </c>
      <c r="I330" s="192" t="s">
        <v>601</v>
      </c>
      <c r="J330" s="192" t="s">
        <v>602</v>
      </c>
      <c r="K330" s="192" t="s">
        <v>603</v>
      </c>
      <c r="L330" s="192" t="s">
        <v>604</v>
      </c>
      <c r="M330" s="192" t="s">
        <v>605</v>
      </c>
      <c r="N330" s="192"/>
      <c r="O330" s="192"/>
      <c r="P330" s="192"/>
      <c r="Q330" s="192"/>
      <c r="R330" s="192" t="s">
        <v>1682</v>
      </c>
    </row>
    <row r="331" spans="1:18" ht="13.15" customHeight="1" x14ac:dyDescent="0.25">
      <c r="A331" s="192" t="s">
        <v>1536</v>
      </c>
      <c r="B331" s="192" t="s">
        <v>1680</v>
      </c>
      <c r="C331" s="192" t="s">
        <v>1679</v>
      </c>
      <c r="D331" s="192">
        <v>86406.48</v>
      </c>
      <c r="E331" s="192">
        <v>123146.52</v>
      </c>
      <c r="F331" s="193"/>
      <c r="G331" s="193"/>
      <c r="H331" s="192" t="s">
        <v>1681</v>
      </c>
      <c r="I331" s="192" t="s">
        <v>601</v>
      </c>
      <c r="J331" s="192" t="s">
        <v>602</v>
      </c>
      <c r="K331" s="192" t="s">
        <v>603</v>
      </c>
      <c r="L331" s="192" t="s">
        <v>604</v>
      </c>
      <c r="M331" s="192" t="s">
        <v>605</v>
      </c>
      <c r="N331" s="192"/>
      <c r="O331" s="192"/>
      <c r="P331" s="192"/>
      <c r="Q331" s="192"/>
      <c r="R331" s="192" t="s">
        <v>1682</v>
      </c>
    </row>
    <row r="332" spans="1:18" ht="13.15" customHeight="1" x14ac:dyDescent="0.25">
      <c r="A332" s="192" t="s">
        <v>833</v>
      </c>
      <c r="B332" s="194"/>
      <c r="C332" s="192" t="s">
        <v>848</v>
      </c>
      <c r="D332" s="192"/>
      <c r="E332" s="192"/>
      <c r="F332" s="193"/>
      <c r="G332" s="193"/>
      <c r="H332" s="192" t="s">
        <v>849</v>
      </c>
      <c r="I332" s="192" t="s">
        <v>601</v>
      </c>
      <c r="J332" s="192" t="s">
        <v>602</v>
      </c>
      <c r="K332" s="192" t="s">
        <v>603</v>
      </c>
      <c r="L332" s="192" t="s">
        <v>604</v>
      </c>
      <c r="M332" s="192" t="s">
        <v>605</v>
      </c>
      <c r="N332" s="192"/>
      <c r="O332" s="192"/>
      <c r="P332" s="192"/>
      <c r="Q332" s="192"/>
      <c r="R332" s="192" t="s">
        <v>847</v>
      </c>
    </row>
    <row r="333" spans="1:18" ht="13.15" customHeight="1" x14ac:dyDescent="0.25">
      <c r="A333" s="192" t="s">
        <v>833</v>
      </c>
      <c r="B333" s="194"/>
      <c r="C333" s="192" t="s">
        <v>845</v>
      </c>
      <c r="D333" s="192"/>
      <c r="E333" s="192"/>
      <c r="F333" s="193"/>
      <c r="G333" s="193"/>
      <c r="H333" s="192" t="s">
        <v>846</v>
      </c>
      <c r="I333" s="192" t="s">
        <v>601</v>
      </c>
      <c r="J333" s="192" t="s">
        <v>602</v>
      </c>
      <c r="K333" s="192" t="s">
        <v>603</v>
      </c>
      <c r="L333" s="192" t="s">
        <v>604</v>
      </c>
      <c r="M333" s="192" t="s">
        <v>605</v>
      </c>
      <c r="N333" s="192"/>
      <c r="O333" s="192"/>
      <c r="P333" s="192"/>
      <c r="Q333" s="192"/>
      <c r="R333" s="192" t="s">
        <v>847</v>
      </c>
    </row>
    <row r="334" spans="1:18" ht="13.15" customHeight="1" x14ac:dyDescent="0.25">
      <c r="A334" s="192" t="s">
        <v>1536</v>
      </c>
      <c r="B334" s="194"/>
      <c r="C334" s="192" t="s">
        <v>1848</v>
      </c>
      <c r="D334" s="192"/>
      <c r="E334" s="192"/>
      <c r="F334" s="193"/>
      <c r="G334" s="193"/>
      <c r="H334" s="192" t="s">
        <v>1849</v>
      </c>
      <c r="I334" s="195" t="s">
        <v>622</v>
      </c>
      <c r="J334" s="192" t="s">
        <v>602</v>
      </c>
      <c r="K334" s="192" t="s">
        <v>603</v>
      </c>
      <c r="L334" s="192" t="s">
        <v>604</v>
      </c>
      <c r="M334" s="192" t="s">
        <v>605</v>
      </c>
      <c r="N334" s="192"/>
      <c r="O334" s="192"/>
      <c r="P334" s="192"/>
      <c r="Q334" s="192"/>
      <c r="R334" s="192" t="s">
        <v>847</v>
      </c>
    </row>
    <row r="335" spans="1:18" ht="13.15" customHeight="1" x14ac:dyDescent="0.25">
      <c r="A335" s="192" t="s">
        <v>1008</v>
      </c>
      <c r="B335" s="194"/>
      <c r="C335" s="192" t="s">
        <v>1204</v>
      </c>
      <c r="D335" s="192"/>
      <c r="E335" s="192"/>
      <c r="F335" s="193"/>
      <c r="G335" s="193"/>
      <c r="H335" s="192" t="s">
        <v>1205</v>
      </c>
      <c r="I335" s="192" t="s">
        <v>601</v>
      </c>
      <c r="J335" s="192" t="s">
        <v>602</v>
      </c>
      <c r="K335" s="192" t="s">
        <v>603</v>
      </c>
      <c r="L335" s="192" t="s">
        <v>604</v>
      </c>
      <c r="M335" s="192" t="s">
        <v>605</v>
      </c>
      <c r="N335" s="192"/>
      <c r="O335" s="192"/>
      <c r="P335" s="192"/>
      <c r="Q335" s="192"/>
      <c r="R335" s="192" t="s">
        <v>606</v>
      </c>
    </row>
    <row r="336" spans="1:18" ht="13.15" customHeight="1" x14ac:dyDescent="0.25">
      <c r="A336" s="192" t="s">
        <v>1008</v>
      </c>
      <c r="B336" s="194"/>
      <c r="C336" s="192" t="s">
        <v>1202</v>
      </c>
      <c r="D336" s="192"/>
      <c r="E336" s="192"/>
      <c r="F336" s="193"/>
      <c r="G336" s="193"/>
      <c r="H336" s="192" t="s">
        <v>1203</v>
      </c>
      <c r="I336" s="192" t="s">
        <v>601</v>
      </c>
      <c r="J336" s="192" t="s">
        <v>602</v>
      </c>
      <c r="K336" s="192" t="s">
        <v>603</v>
      </c>
      <c r="L336" s="192" t="s">
        <v>604</v>
      </c>
      <c r="M336" s="192" t="s">
        <v>605</v>
      </c>
      <c r="N336" s="192"/>
      <c r="O336" s="192"/>
      <c r="P336" s="192"/>
      <c r="Q336" s="192"/>
      <c r="R336" s="192" t="s">
        <v>606</v>
      </c>
    </row>
    <row r="337" spans="1:18" ht="13.15" customHeight="1" x14ac:dyDescent="0.25">
      <c r="A337" s="192" t="s">
        <v>1008</v>
      </c>
      <c r="B337" s="194"/>
      <c r="C337" s="192" t="s">
        <v>1200</v>
      </c>
      <c r="D337" s="192"/>
      <c r="E337" s="192"/>
      <c r="F337" s="193"/>
      <c r="G337" s="193"/>
      <c r="H337" s="192" t="s">
        <v>1201</v>
      </c>
      <c r="I337" s="192" t="s">
        <v>601</v>
      </c>
      <c r="J337" s="192" t="s">
        <v>602</v>
      </c>
      <c r="K337" s="192" t="s">
        <v>603</v>
      </c>
      <c r="L337" s="192" t="s">
        <v>604</v>
      </c>
      <c r="M337" s="192" t="s">
        <v>605</v>
      </c>
      <c r="N337" s="192"/>
      <c r="O337" s="192"/>
      <c r="P337" s="192"/>
      <c r="Q337" s="192"/>
      <c r="R337" s="192" t="s">
        <v>606</v>
      </c>
    </row>
    <row r="338" spans="1:18" ht="13.15" customHeight="1" x14ac:dyDescent="0.25">
      <c r="A338" s="192" t="s">
        <v>1008</v>
      </c>
      <c r="B338" s="194"/>
      <c r="C338" s="192" t="s">
        <v>1198</v>
      </c>
      <c r="D338" s="192"/>
      <c r="E338" s="192"/>
      <c r="F338" s="193"/>
      <c r="G338" s="193"/>
      <c r="H338" s="192" t="s">
        <v>1199</v>
      </c>
      <c r="I338" s="192" t="s">
        <v>601</v>
      </c>
      <c r="J338" s="192" t="s">
        <v>602</v>
      </c>
      <c r="K338" s="192" t="s">
        <v>603</v>
      </c>
      <c r="L338" s="192" t="s">
        <v>604</v>
      </c>
      <c r="M338" s="192" t="s">
        <v>605</v>
      </c>
      <c r="N338" s="192"/>
      <c r="O338" s="192"/>
      <c r="P338" s="192"/>
      <c r="Q338" s="192"/>
      <c r="R338" s="192" t="s">
        <v>606</v>
      </c>
    </row>
    <row r="339" spans="1:18" ht="13.15" customHeight="1" x14ac:dyDescent="0.25">
      <c r="A339" s="192" t="s">
        <v>1249</v>
      </c>
      <c r="B339" s="192" t="s">
        <v>240</v>
      </c>
      <c r="C339" s="192" t="s">
        <v>1331</v>
      </c>
      <c r="D339" s="192">
        <v>39194.639999999999</v>
      </c>
      <c r="E339" s="192">
        <v>55860.2</v>
      </c>
      <c r="F339" s="193"/>
      <c r="G339" s="193"/>
      <c r="H339" s="192" t="s">
        <v>1332</v>
      </c>
      <c r="I339" s="192" t="s">
        <v>601</v>
      </c>
      <c r="J339" s="192" t="s">
        <v>602</v>
      </c>
      <c r="K339" s="192" t="s">
        <v>603</v>
      </c>
      <c r="L339" s="192" t="s">
        <v>604</v>
      </c>
      <c r="M339" s="192" t="s">
        <v>605</v>
      </c>
      <c r="N339" s="192"/>
      <c r="O339" s="192"/>
      <c r="P339" s="192" t="s">
        <v>704</v>
      </c>
      <c r="Q339" s="192" t="s">
        <v>1287</v>
      </c>
      <c r="R339" s="192" t="s">
        <v>606</v>
      </c>
    </row>
    <row r="340" spans="1:18" ht="13.15" customHeight="1" x14ac:dyDescent="0.25">
      <c r="A340" s="192" t="s">
        <v>597</v>
      </c>
      <c r="B340" s="192" t="s">
        <v>618</v>
      </c>
      <c r="C340" s="192" t="s">
        <v>617</v>
      </c>
      <c r="D340" s="192"/>
      <c r="E340" s="192"/>
      <c r="F340" s="193"/>
      <c r="G340" s="193"/>
      <c r="H340" s="192" t="s">
        <v>619</v>
      </c>
      <c r="I340" s="192" t="s">
        <v>601</v>
      </c>
      <c r="J340" s="192" t="s">
        <v>602</v>
      </c>
      <c r="K340" s="192" t="s">
        <v>603</v>
      </c>
      <c r="L340" s="192" t="s">
        <v>604</v>
      </c>
      <c r="M340" s="192" t="s">
        <v>605</v>
      </c>
      <c r="N340" s="192"/>
      <c r="O340" s="192"/>
      <c r="P340" s="192"/>
      <c r="Q340" s="192"/>
      <c r="R340" s="192" t="s">
        <v>606</v>
      </c>
    </row>
    <row r="341" spans="1:18" ht="13.15" customHeight="1" x14ac:dyDescent="0.25">
      <c r="A341" s="192" t="s">
        <v>1008</v>
      </c>
      <c r="B341" s="194"/>
      <c r="C341" s="192" t="s">
        <v>1196</v>
      </c>
      <c r="D341" s="192"/>
      <c r="E341" s="192"/>
      <c r="F341" s="193"/>
      <c r="G341" s="193"/>
      <c r="H341" s="192" t="s">
        <v>1197</v>
      </c>
      <c r="I341" s="192" t="s">
        <v>601</v>
      </c>
      <c r="J341" s="192" t="s">
        <v>602</v>
      </c>
      <c r="K341" s="192" t="s">
        <v>603</v>
      </c>
      <c r="L341" s="192" t="s">
        <v>604</v>
      </c>
      <c r="M341" s="192" t="s">
        <v>605</v>
      </c>
      <c r="N341" s="192"/>
      <c r="O341" s="192"/>
      <c r="P341" s="192"/>
      <c r="Q341" s="192"/>
      <c r="R341" s="192" t="s">
        <v>606</v>
      </c>
    </row>
    <row r="342" spans="1:18" ht="13.15" customHeight="1" x14ac:dyDescent="0.25">
      <c r="A342" s="192" t="s">
        <v>1008</v>
      </c>
      <c r="B342" s="194"/>
      <c r="C342" s="192" t="s">
        <v>1194</v>
      </c>
      <c r="D342" s="192"/>
      <c r="E342" s="192"/>
      <c r="F342" s="193"/>
      <c r="G342" s="193"/>
      <c r="H342" s="192" t="s">
        <v>1195</v>
      </c>
      <c r="I342" s="192" t="s">
        <v>601</v>
      </c>
      <c r="J342" s="192" t="s">
        <v>602</v>
      </c>
      <c r="K342" s="192" t="s">
        <v>603</v>
      </c>
      <c r="L342" s="192" t="s">
        <v>604</v>
      </c>
      <c r="M342" s="192" t="s">
        <v>605</v>
      </c>
      <c r="N342" s="192"/>
      <c r="O342" s="192"/>
      <c r="P342" s="192"/>
      <c r="Q342" s="192"/>
      <c r="R342" s="192" t="s">
        <v>606</v>
      </c>
    </row>
    <row r="343" spans="1:18" ht="13.15" customHeight="1" x14ac:dyDescent="0.25">
      <c r="A343" s="192" t="s">
        <v>1008</v>
      </c>
      <c r="B343" s="194"/>
      <c r="C343" s="192" t="s">
        <v>1192</v>
      </c>
      <c r="D343" s="192"/>
      <c r="E343" s="192"/>
      <c r="F343" s="193"/>
      <c r="G343" s="193"/>
      <c r="H343" s="192" t="s">
        <v>1193</v>
      </c>
      <c r="I343" s="192" t="s">
        <v>601</v>
      </c>
      <c r="J343" s="192" t="s">
        <v>602</v>
      </c>
      <c r="K343" s="192" t="s">
        <v>603</v>
      </c>
      <c r="L343" s="192" t="s">
        <v>604</v>
      </c>
      <c r="M343" s="192" t="s">
        <v>605</v>
      </c>
      <c r="N343" s="192"/>
      <c r="O343" s="192"/>
      <c r="P343" s="192"/>
      <c r="Q343" s="192"/>
      <c r="R343" s="192" t="s">
        <v>606</v>
      </c>
    </row>
    <row r="344" spans="1:18" ht="13.15" customHeight="1" x14ac:dyDescent="0.25">
      <c r="A344" s="192" t="s">
        <v>1008</v>
      </c>
      <c r="B344" s="194"/>
      <c r="C344" s="192" t="s">
        <v>1190</v>
      </c>
      <c r="D344" s="192"/>
      <c r="E344" s="192"/>
      <c r="F344" s="193"/>
      <c r="G344" s="193"/>
      <c r="H344" s="192" t="s">
        <v>1191</v>
      </c>
      <c r="I344" s="192" t="s">
        <v>601</v>
      </c>
      <c r="J344" s="192" t="s">
        <v>602</v>
      </c>
      <c r="K344" s="192" t="s">
        <v>603</v>
      </c>
      <c r="L344" s="192" t="s">
        <v>604</v>
      </c>
      <c r="M344" s="192" t="s">
        <v>605</v>
      </c>
      <c r="N344" s="192"/>
      <c r="O344" s="192"/>
      <c r="P344" s="192"/>
      <c r="Q344" s="192"/>
      <c r="R344" s="192" t="s">
        <v>606</v>
      </c>
    </row>
    <row r="345" spans="1:18" ht="13.15" customHeight="1" x14ac:dyDescent="0.25">
      <c r="A345" s="192" t="s">
        <v>1249</v>
      </c>
      <c r="B345" s="192" t="s">
        <v>238</v>
      </c>
      <c r="C345" s="192" t="s">
        <v>1329</v>
      </c>
      <c r="D345" s="192">
        <v>20287.740000000002</v>
      </c>
      <c r="E345" s="192">
        <v>28914.09</v>
      </c>
      <c r="F345" s="193"/>
      <c r="G345" s="193"/>
      <c r="H345" s="192" t="s">
        <v>1330</v>
      </c>
      <c r="I345" s="192" t="s">
        <v>601</v>
      </c>
      <c r="J345" s="192" t="s">
        <v>602</v>
      </c>
      <c r="K345" s="192" t="s">
        <v>603</v>
      </c>
      <c r="L345" s="192" t="s">
        <v>604</v>
      </c>
      <c r="M345" s="192" t="s">
        <v>605</v>
      </c>
      <c r="N345" s="192"/>
      <c r="O345" s="192"/>
      <c r="P345" s="192" t="s">
        <v>704</v>
      </c>
      <c r="Q345" s="192" t="s">
        <v>1287</v>
      </c>
      <c r="R345" s="192" t="s">
        <v>606</v>
      </c>
    </row>
    <row r="346" spans="1:18" ht="13.15" customHeight="1" x14ac:dyDescent="0.25">
      <c r="A346" s="192" t="s">
        <v>1249</v>
      </c>
      <c r="B346" s="192" t="s">
        <v>236</v>
      </c>
      <c r="C346" s="192" t="s">
        <v>1327</v>
      </c>
      <c r="D346" s="192">
        <v>19568.93</v>
      </c>
      <c r="E346" s="192">
        <v>27889.64</v>
      </c>
      <c r="F346" s="193"/>
      <c r="G346" s="193"/>
      <c r="H346" s="192" t="s">
        <v>1328</v>
      </c>
      <c r="I346" s="192" t="s">
        <v>601</v>
      </c>
      <c r="J346" s="192" t="s">
        <v>602</v>
      </c>
      <c r="K346" s="192" t="s">
        <v>603</v>
      </c>
      <c r="L346" s="192" t="s">
        <v>604</v>
      </c>
      <c r="M346" s="192" t="s">
        <v>605</v>
      </c>
      <c r="N346" s="192"/>
      <c r="O346" s="192"/>
      <c r="P346" s="192" t="s">
        <v>704</v>
      </c>
      <c r="Q346" s="192" t="s">
        <v>1287</v>
      </c>
      <c r="R346" s="192" t="s">
        <v>606</v>
      </c>
    </row>
    <row r="347" spans="1:18" ht="13.15" customHeight="1" x14ac:dyDescent="0.25">
      <c r="A347" s="192" t="s">
        <v>1008</v>
      </c>
      <c r="B347" s="192" t="s">
        <v>1188</v>
      </c>
      <c r="C347" s="192" t="s">
        <v>1187</v>
      </c>
      <c r="D347" s="192"/>
      <c r="E347" s="192"/>
      <c r="F347" s="193"/>
      <c r="G347" s="193"/>
      <c r="H347" s="192" t="s">
        <v>1189</v>
      </c>
      <c r="I347" s="192" t="s">
        <v>601</v>
      </c>
      <c r="J347" s="192" t="s">
        <v>602</v>
      </c>
      <c r="K347" s="192" t="s">
        <v>603</v>
      </c>
      <c r="L347" s="192" t="s">
        <v>604</v>
      </c>
      <c r="M347" s="192" t="s">
        <v>605</v>
      </c>
      <c r="N347" s="192"/>
      <c r="O347" s="192"/>
      <c r="P347" s="192"/>
      <c r="Q347" s="192"/>
      <c r="R347" s="192" t="s">
        <v>606</v>
      </c>
    </row>
    <row r="348" spans="1:18" ht="13.15" customHeight="1" x14ac:dyDescent="0.25">
      <c r="A348" s="192" t="s">
        <v>833</v>
      </c>
      <c r="B348" s="192" t="s">
        <v>312</v>
      </c>
      <c r="C348" s="192" t="s">
        <v>843</v>
      </c>
      <c r="D348" s="192">
        <v>2789.82</v>
      </c>
      <c r="E348" s="192">
        <v>3976.05</v>
      </c>
      <c r="F348" s="193"/>
      <c r="G348" s="193"/>
      <c r="H348" s="192" t="s">
        <v>844</v>
      </c>
      <c r="I348" s="192" t="s">
        <v>601</v>
      </c>
      <c r="J348" s="192" t="s">
        <v>602</v>
      </c>
      <c r="K348" s="192" t="s">
        <v>603</v>
      </c>
      <c r="L348" s="192" t="s">
        <v>604</v>
      </c>
      <c r="M348" s="192" t="s">
        <v>605</v>
      </c>
      <c r="N348" s="192"/>
      <c r="O348" s="192"/>
      <c r="P348" s="192" t="s">
        <v>704</v>
      </c>
      <c r="Q348" s="192" t="s">
        <v>836</v>
      </c>
      <c r="R348" s="192" t="s">
        <v>606</v>
      </c>
    </row>
    <row r="349" spans="1:18" ht="13.15" customHeight="1" x14ac:dyDescent="0.25">
      <c r="A349" s="192" t="s">
        <v>1249</v>
      </c>
      <c r="B349" s="192" t="s">
        <v>436</v>
      </c>
      <c r="C349" s="192" t="s">
        <v>1325</v>
      </c>
      <c r="D349" s="192">
        <v>22292.04</v>
      </c>
      <c r="E349" s="192">
        <v>31770.62</v>
      </c>
      <c r="F349" s="193"/>
      <c r="G349" s="193"/>
      <c r="H349" s="192" t="s">
        <v>1326</v>
      </c>
      <c r="I349" s="192" t="s">
        <v>601</v>
      </c>
      <c r="J349" s="192" t="s">
        <v>602</v>
      </c>
      <c r="K349" s="192" t="s">
        <v>603</v>
      </c>
      <c r="L349" s="192" t="s">
        <v>604</v>
      </c>
      <c r="M349" s="192" t="s">
        <v>605</v>
      </c>
      <c r="N349" s="192"/>
      <c r="O349" s="192"/>
      <c r="P349" s="192"/>
      <c r="Q349" s="192"/>
      <c r="R349" s="192" t="s">
        <v>606</v>
      </c>
    </row>
    <row r="350" spans="1:18" ht="13.15" customHeight="1" x14ac:dyDescent="0.25">
      <c r="A350" s="192" t="s">
        <v>1249</v>
      </c>
      <c r="B350" s="192" t="s">
        <v>234</v>
      </c>
      <c r="C350" s="192" t="s">
        <v>1323</v>
      </c>
      <c r="D350" s="192">
        <v>19191.88</v>
      </c>
      <c r="E350" s="192">
        <v>27352.27</v>
      </c>
      <c r="F350" s="193"/>
      <c r="G350" s="193"/>
      <c r="H350" s="192" t="s">
        <v>1324</v>
      </c>
      <c r="I350" s="192" t="s">
        <v>601</v>
      </c>
      <c r="J350" s="192" t="s">
        <v>602</v>
      </c>
      <c r="K350" s="192" t="s">
        <v>603</v>
      </c>
      <c r="L350" s="192" t="s">
        <v>604</v>
      </c>
      <c r="M350" s="192" t="s">
        <v>605</v>
      </c>
      <c r="N350" s="192"/>
      <c r="O350" s="192"/>
      <c r="P350" s="192" t="s">
        <v>704</v>
      </c>
      <c r="Q350" s="192" t="s">
        <v>1287</v>
      </c>
      <c r="R350" s="192" t="s">
        <v>606</v>
      </c>
    </row>
    <row r="351" spans="1:18" ht="13.15" customHeight="1" x14ac:dyDescent="0.25">
      <c r="A351" s="192" t="s">
        <v>1249</v>
      </c>
      <c r="B351" s="192" t="s">
        <v>232</v>
      </c>
      <c r="C351" s="192" t="s">
        <v>1321</v>
      </c>
      <c r="D351" s="192">
        <v>17832.54</v>
      </c>
      <c r="E351" s="192">
        <v>25414.94</v>
      </c>
      <c r="F351" s="193"/>
      <c r="G351" s="193"/>
      <c r="H351" s="192" t="s">
        <v>1322</v>
      </c>
      <c r="I351" s="192" t="s">
        <v>601</v>
      </c>
      <c r="J351" s="192" t="s">
        <v>602</v>
      </c>
      <c r="K351" s="192" t="s">
        <v>603</v>
      </c>
      <c r="L351" s="192" t="s">
        <v>604</v>
      </c>
      <c r="M351" s="192" t="s">
        <v>605</v>
      </c>
      <c r="N351" s="192"/>
      <c r="O351" s="192"/>
      <c r="P351" s="192" t="s">
        <v>704</v>
      </c>
      <c r="Q351" s="192" t="s">
        <v>1287</v>
      </c>
      <c r="R351" s="192" t="s">
        <v>606</v>
      </c>
    </row>
    <row r="352" spans="1:18" ht="13.15" customHeight="1" x14ac:dyDescent="0.25">
      <c r="A352" s="192" t="s">
        <v>597</v>
      </c>
      <c r="B352" s="194"/>
      <c r="C352" s="192" t="s">
        <v>624</v>
      </c>
      <c r="D352" s="192"/>
      <c r="E352" s="192"/>
      <c r="F352" s="193"/>
      <c r="G352" s="193"/>
      <c r="H352" s="192" t="s">
        <v>625</v>
      </c>
      <c r="I352" s="195" t="s">
        <v>622</v>
      </c>
      <c r="J352" s="192" t="s">
        <v>602</v>
      </c>
      <c r="K352" s="192" t="s">
        <v>603</v>
      </c>
      <c r="L352" s="192" t="s">
        <v>604</v>
      </c>
      <c r="M352" s="192" t="s">
        <v>605</v>
      </c>
      <c r="N352" s="192" t="s">
        <v>623</v>
      </c>
      <c r="O352" s="192"/>
      <c r="P352" s="192"/>
      <c r="Q352" s="192"/>
      <c r="R352" s="192"/>
    </row>
    <row r="353" spans="1:18" ht="13.15" customHeight="1" x14ac:dyDescent="0.25">
      <c r="A353" s="192" t="s">
        <v>597</v>
      </c>
      <c r="B353" s="194"/>
      <c r="C353" s="192" t="s">
        <v>620</v>
      </c>
      <c r="D353" s="192"/>
      <c r="E353" s="192"/>
      <c r="F353" s="193"/>
      <c r="G353" s="193"/>
      <c r="H353" s="192" t="s">
        <v>621</v>
      </c>
      <c r="I353" s="195" t="s">
        <v>622</v>
      </c>
      <c r="J353" s="192" t="s">
        <v>602</v>
      </c>
      <c r="K353" s="192" t="s">
        <v>603</v>
      </c>
      <c r="L353" s="192" t="s">
        <v>604</v>
      </c>
      <c r="M353" s="192" t="s">
        <v>605</v>
      </c>
      <c r="N353" s="192" t="s">
        <v>623</v>
      </c>
      <c r="O353" s="192"/>
      <c r="P353" s="192"/>
      <c r="Q353" s="192"/>
      <c r="R353" s="192"/>
    </row>
    <row r="354" spans="1:18" ht="13.15" customHeight="1" x14ac:dyDescent="0.25">
      <c r="A354" s="192" t="s">
        <v>1249</v>
      </c>
      <c r="B354" s="192" t="s">
        <v>230</v>
      </c>
      <c r="C354" s="192" t="s">
        <v>1319</v>
      </c>
      <c r="D354" s="192">
        <v>79494.2</v>
      </c>
      <c r="E354" s="192">
        <v>113295.13</v>
      </c>
      <c r="F354" s="193"/>
      <c r="G354" s="193"/>
      <c r="H354" s="192" t="s">
        <v>1320</v>
      </c>
      <c r="I354" s="192" t="s">
        <v>601</v>
      </c>
      <c r="J354" s="192" t="s">
        <v>602</v>
      </c>
      <c r="K354" s="192" t="s">
        <v>603</v>
      </c>
      <c r="L354" s="192" t="s">
        <v>604</v>
      </c>
      <c r="M354" s="192" t="s">
        <v>605</v>
      </c>
      <c r="N354" s="192"/>
      <c r="O354" s="192"/>
      <c r="P354" s="192" t="s">
        <v>704</v>
      </c>
      <c r="Q354" s="192" t="s">
        <v>1287</v>
      </c>
      <c r="R354" s="192" t="s">
        <v>606</v>
      </c>
    </row>
    <row r="355" spans="1:18" ht="13.15" customHeight="1" x14ac:dyDescent="0.25">
      <c r="A355" s="192" t="s">
        <v>1249</v>
      </c>
      <c r="B355" s="192" t="s">
        <v>228</v>
      </c>
      <c r="C355" s="192" t="s">
        <v>1317</v>
      </c>
      <c r="D355" s="192">
        <v>12677.37</v>
      </c>
      <c r="E355" s="192">
        <v>18067.79</v>
      </c>
      <c r="F355" s="193"/>
      <c r="G355" s="193"/>
      <c r="H355" s="192" t="s">
        <v>1318</v>
      </c>
      <c r="I355" s="192" t="s">
        <v>601</v>
      </c>
      <c r="J355" s="192" t="s">
        <v>602</v>
      </c>
      <c r="K355" s="192" t="s">
        <v>603</v>
      </c>
      <c r="L355" s="192" t="s">
        <v>604</v>
      </c>
      <c r="M355" s="192" t="s">
        <v>605</v>
      </c>
      <c r="N355" s="192"/>
      <c r="O355" s="192"/>
      <c r="P355" s="192" t="s">
        <v>704</v>
      </c>
      <c r="Q355" s="192" t="s">
        <v>1287</v>
      </c>
      <c r="R355" s="192" t="s">
        <v>606</v>
      </c>
    </row>
    <row r="356" spans="1:18" ht="13.15" customHeight="1" x14ac:dyDescent="0.25">
      <c r="A356" s="192" t="s">
        <v>1249</v>
      </c>
      <c r="B356" s="192" t="s">
        <v>400</v>
      </c>
      <c r="C356" s="192" t="s">
        <v>1315</v>
      </c>
      <c r="D356" s="192">
        <v>10630.06</v>
      </c>
      <c r="E356" s="192">
        <v>15149.96</v>
      </c>
      <c r="F356" s="193"/>
      <c r="G356" s="193"/>
      <c r="H356" s="192" t="s">
        <v>1316</v>
      </c>
      <c r="I356" s="192" t="s">
        <v>601</v>
      </c>
      <c r="J356" s="192" t="s">
        <v>602</v>
      </c>
      <c r="K356" s="192" t="s">
        <v>603</v>
      </c>
      <c r="L356" s="192" t="s">
        <v>604</v>
      </c>
      <c r="M356" s="192" t="s">
        <v>605</v>
      </c>
      <c r="N356" s="192"/>
      <c r="O356" s="192"/>
      <c r="P356" s="192"/>
      <c r="Q356" s="192"/>
      <c r="R356" s="192" t="s">
        <v>606</v>
      </c>
    </row>
    <row r="357" spans="1:18" ht="13.15" customHeight="1" x14ac:dyDescent="0.25">
      <c r="A357" s="192" t="s">
        <v>1249</v>
      </c>
      <c r="B357" s="192" t="s">
        <v>323</v>
      </c>
      <c r="C357" s="192" t="s">
        <v>1313</v>
      </c>
      <c r="D357" s="192"/>
      <c r="E357" s="192"/>
      <c r="F357" s="193"/>
      <c r="G357" s="193"/>
      <c r="H357" s="192" t="s">
        <v>1314</v>
      </c>
      <c r="I357" s="192" t="s">
        <v>601</v>
      </c>
      <c r="J357" s="192" t="s">
        <v>602</v>
      </c>
      <c r="K357" s="192" t="s">
        <v>603</v>
      </c>
      <c r="L357" s="192" t="s">
        <v>604</v>
      </c>
      <c r="M357" s="192" t="s">
        <v>605</v>
      </c>
      <c r="N357" s="192"/>
      <c r="O357" s="192"/>
      <c r="P357" s="192"/>
      <c r="Q357" s="192"/>
      <c r="R357" s="192" t="s">
        <v>606</v>
      </c>
    </row>
    <row r="358" spans="1:18" ht="13.15" customHeight="1" x14ac:dyDescent="0.25">
      <c r="A358" s="192" t="s">
        <v>1536</v>
      </c>
      <c r="B358" s="192" t="s">
        <v>198</v>
      </c>
      <c r="C358" s="192" t="s">
        <v>1677</v>
      </c>
      <c r="D358" s="192">
        <v>3621.08</v>
      </c>
      <c r="E358" s="192">
        <v>5160.76</v>
      </c>
      <c r="F358" s="193"/>
      <c r="G358" s="193"/>
      <c r="H358" s="192" t="s">
        <v>1678</v>
      </c>
      <c r="I358" s="192" t="s">
        <v>601</v>
      </c>
      <c r="J358" s="192" t="s">
        <v>602</v>
      </c>
      <c r="K358" s="192" t="s">
        <v>603</v>
      </c>
      <c r="L358" s="192" t="s">
        <v>604</v>
      </c>
      <c r="M358" s="192" t="s">
        <v>605</v>
      </c>
      <c r="N358" s="192" t="s">
        <v>641</v>
      </c>
      <c r="O358" s="192"/>
      <c r="P358" s="192" t="s">
        <v>704</v>
      </c>
      <c r="Q358" s="192" t="s">
        <v>1676</v>
      </c>
      <c r="R358" s="192" t="s">
        <v>606</v>
      </c>
    </row>
    <row r="359" spans="1:18" ht="13.15" customHeight="1" x14ac:dyDescent="0.25">
      <c r="A359" s="192" t="s">
        <v>1249</v>
      </c>
      <c r="B359" s="192" t="s">
        <v>226</v>
      </c>
      <c r="C359" s="192" t="s">
        <v>1311</v>
      </c>
      <c r="D359" s="192">
        <v>12604.6</v>
      </c>
      <c r="E359" s="192">
        <v>17964.080000000002</v>
      </c>
      <c r="F359" s="193"/>
      <c r="G359" s="193"/>
      <c r="H359" s="192" t="s">
        <v>1312</v>
      </c>
      <c r="I359" s="192" t="s">
        <v>601</v>
      </c>
      <c r="J359" s="192" t="s">
        <v>602</v>
      </c>
      <c r="K359" s="192" t="s">
        <v>603</v>
      </c>
      <c r="L359" s="192" t="s">
        <v>604</v>
      </c>
      <c r="M359" s="192" t="s">
        <v>605</v>
      </c>
      <c r="N359" s="192"/>
      <c r="O359" s="192"/>
      <c r="P359" s="192" t="s">
        <v>704</v>
      </c>
      <c r="Q359" s="192" t="s">
        <v>1287</v>
      </c>
      <c r="R359" s="192" t="s">
        <v>606</v>
      </c>
    </row>
    <row r="360" spans="1:18" ht="13.15" customHeight="1" x14ac:dyDescent="0.25">
      <c r="A360" s="192" t="s">
        <v>1536</v>
      </c>
      <c r="B360" s="192" t="s">
        <v>196</v>
      </c>
      <c r="C360" s="192" t="s">
        <v>1674</v>
      </c>
      <c r="D360" s="192">
        <v>2058.33</v>
      </c>
      <c r="E360" s="192">
        <v>2933.53</v>
      </c>
      <c r="F360" s="193"/>
      <c r="G360" s="193"/>
      <c r="H360" s="192" t="s">
        <v>1675</v>
      </c>
      <c r="I360" s="192" t="s">
        <v>601</v>
      </c>
      <c r="J360" s="192" t="s">
        <v>602</v>
      </c>
      <c r="K360" s="192" t="s">
        <v>603</v>
      </c>
      <c r="L360" s="192" t="s">
        <v>604</v>
      </c>
      <c r="M360" s="192" t="s">
        <v>605</v>
      </c>
      <c r="N360" s="192"/>
      <c r="O360" s="192"/>
      <c r="P360" s="192" t="s">
        <v>704</v>
      </c>
      <c r="Q360" s="192" t="s">
        <v>1676</v>
      </c>
      <c r="R360" s="192" t="s">
        <v>606</v>
      </c>
    </row>
    <row r="361" spans="1:18" ht="13.15" customHeight="1" x14ac:dyDescent="0.25">
      <c r="A361" s="192" t="s">
        <v>1008</v>
      </c>
      <c r="B361" s="192" t="s">
        <v>179</v>
      </c>
      <c r="C361" s="192" t="s">
        <v>1014</v>
      </c>
      <c r="D361" s="192">
        <v>814.73</v>
      </c>
      <c r="E361" s="192">
        <v>1161.1500000000001</v>
      </c>
      <c r="F361" s="193"/>
      <c r="G361" s="193"/>
      <c r="H361" s="192" t="s">
        <v>1015</v>
      </c>
      <c r="I361" s="192" t="s">
        <v>601</v>
      </c>
      <c r="J361" s="192" t="s">
        <v>602</v>
      </c>
      <c r="K361" s="192" t="s">
        <v>603</v>
      </c>
      <c r="L361" s="192" t="s">
        <v>604</v>
      </c>
      <c r="M361" s="192" t="s">
        <v>605</v>
      </c>
      <c r="N361" s="192"/>
      <c r="O361" s="192"/>
      <c r="P361" s="192" t="s">
        <v>704</v>
      </c>
      <c r="Q361" s="192" t="s">
        <v>1016</v>
      </c>
      <c r="R361" s="192" t="s">
        <v>606</v>
      </c>
    </row>
    <row r="362" spans="1:18" ht="13.15" customHeight="1" x14ac:dyDescent="0.25">
      <c r="A362" s="192" t="s">
        <v>1008</v>
      </c>
      <c r="B362" s="192" t="s">
        <v>293</v>
      </c>
      <c r="C362" s="192" t="s">
        <v>1011</v>
      </c>
      <c r="D362" s="192">
        <v>2729.54</v>
      </c>
      <c r="E362" s="192">
        <v>3890.14</v>
      </c>
      <c r="F362" s="193"/>
      <c r="G362" s="193"/>
      <c r="H362" s="192" t="s">
        <v>1012</v>
      </c>
      <c r="I362" s="192" t="s">
        <v>601</v>
      </c>
      <c r="J362" s="192" t="s">
        <v>602</v>
      </c>
      <c r="K362" s="192" t="s">
        <v>603</v>
      </c>
      <c r="L362" s="192" t="s">
        <v>604</v>
      </c>
      <c r="M362" s="192" t="s">
        <v>605</v>
      </c>
      <c r="N362" s="192"/>
      <c r="O362" s="192"/>
      <c r="P362" s="192" t="s">
        <v>704</v>
      </c>
      <c r="Q362" s="192" t="s">
        <v>1013</v>
      </c>
      <c r="R362" s="192" t="s">
        <v>606</v>
      </c>
    </row>
    <row r="363" spans="1:18" ht="13.15" customHeight="1" x14ac:dyDescent="0.25">
      <c r="A363" s="192" t="s">
        <v>1536</v>
      </c>
      <c r="B363" s="192" t="s">
        <v>283</v>
      </c>
      <c r="C363" s="192" t="s">
        <v>1672</v>
      </c>
      <c r="D363" s="192">
        <v>55.68</v>
      </c>
      <c r="E363" s="192">
        <v>79.36</v>
      </c>
      <c r="F363" s="193"/>
      <c r="G363" s="193"/>
      <c r="H363" s="192" t="s">
        <v>1673</v>
      </c>
      <c r="I363" s="192" t="s">
        <v>601</v>
      </c>
      <c r="J363" s="192" t="s">
        <v>602</v>
      </c>
      <c r="K363" s="192" t="s">
        <v>603</v>
      </c>
      <c r="L363" s="192" t="s">
        <v>604</v>
      </c>
      <c r="M363" s="192" t="s">
        <v>605</v>
      </c>
      <c r="N363" s="192"/>
      <c r="O363" s="192"/>
      <c r="P363" s="192" t="s">
        <v>704</v>
      </c>
      <c r="Q363" s="192" t="s">
        <v>1013</v>
      </c>
      <c r="R363" s="192" t="s">
        <v>606</v>
      </c>
    </row>
    <row r="364" spans="1:18" ht="13.15" customHeight="1" x14ac:dyDescent="0.25">
      <c r="A364" s="192" t="s">
        <v>1536</v>
      </c>
      <c r="B364" s="192" t="s">
        <v>279</v>
      </c>
      <c r="C364" s="192" t="s">
        <v>1670</v>
      </c>
      <c r="D364" s="192">
        <v>109.69</v>
      </c>
      <c r="E364" s="192">
        <v>156.33000000000001</v>
      </c>
      <c r="F364" s="193"/>
      <c r="G364" s="193"/>
      <c r="H364" s="192" t="s">
        <v>1671</v>
      </c>
      <c r="I364" s="192" t="s">
        <v>601</v>
      </c>
      <c r="J364" s="192" t="s">
        <v>602</v>
      </c>
      <c r="K364" s="192" t="s">
        <v>603</v>
      </c>
      <c r="L364" s="192" t="s">
        <v>604</v>
      </c>
      <c r="M364" s="192" t="s">
        <v>605</v>
      </c>
      <c r="N364" s="192"/>
      <c r="O364" s="192"/>
      <c r="P364" s="192" t="s">
        <v>704</v>
      </c>
      <c r="Q364" s="192" t="s">
        <v>1013</v>
      </c>
      <c r="R364" s="192" t="s">
        <v>606</v>
      </c>
    </row>
    <row r="365" spans="1:18" ht="13.15" customHeight="1" x14ac:dyDescent="0.25">
      <c r="A365" s="192" t="s">
        <v>597</v>
      </c>
      <c r="B365" s="192" t="s">
        <v>614</v>
      </c>
      <c r="C365" s="192" t="s">
        <v>613</v>
      </c>
      <c r="D365" s="192"/>
      <c r="E365" s="192"/>
      <c r="F365" s="193"/>
      <c r="G365" s="193"/>
      <c r="H365" s="192" t="s">
        <v>615</v>
      </c>
      <c r="I365" s="192" t="s">
        <v>601</v>
      </c>
      <c r="J365" s="192" t="s">
        <v>602</v>
      </c>
      <c r="K365" s="192" t="s">
        <v>603</v>
      </c>
      <c r="L365" s="192" t="s">
        <v>604</v>
      </c>
      <c r="M365" s="192" t="s">
        <v>605</v>
      </c>
      <c r="N365" s="192" t="s">
        <v>616</v>
      </c>
      <c r="O365" s="192"/>
      <c r="P365" s="192"/>
      <c r="Q365" s="192"/>
      <c r="R365" s="192" t="s">
        <v>606</v>
      </c>
    </row>
    <row r="366" spans="1:18" ht="13.15" customHeight="1" x14ac:dyDescent="0.25">
      <c r="A366" s="192" t="s">
        <v>1008</v>
      </c>
      <c r="B366" s="192" t="s">
        <v>173</v>
      </c>
      <c r="C366" s="192" t="s">
        <v>1185</v>
      </c>
      <c r="D366" s="192">
        <v>67.8</v>
      </c>
      <c r="E366" s="192">
        <v>96.63</v>
      </c>
      <c r="F366" s="193"/>
      <c r="G366" s="193"/>
      <c r="H366" s="192" t="s">
        <v>1186</v>
      </c>
      <c r="I366" s="192" t="s">
        <v>601</v>
      </c>
      <c r="J366" s="192" t="s">
        <v>602</v>
      </c>
      <c r="K366" s="192" t="s">
        <v>603</v>
      </c>
      <c r="L366" s="192" t="s">
        <v>604</v>
      </c>
      <c r="M366" s="192" t="s">
        <v>605</v>
      </c>
      <c r="N366" s="192"/>
      <c r="O366" s="192"/>
      <c r="P366" s="192" t="s">
        <v>704</v>
      </c>
      <c r="Q366" s="192" t="s">
        <v>1016</v>
      </c>
      <c r="R366" s="192" t="s">
        <v>606</v>
      </c>
    </row>
    <row r="367" spans="1:18" ht="13.15" customHeight="1" x14ac:dyDescent="0.25">
      <c r="A367" s="192" t="s">
        <v>1249</v>
      </c>
      <c r="B367" s="192" t="s">
        <v>222</v>
      </c>
      <c r="C367" s="192" t="s">
        <v>1309</v>
      </c>
      <c r="D367" s="192">
        <v>6275.29</v>
      </c>
      <c r="E367" s="192">
        <v>8943.5400000000009</v>
      </c>
      <c r="F367" s="193"/>
      <c r="G367" s="193"/>
      <c r="H367" s="192" t="s">
        <v>1310</v>
      </c>
      <c r="I367" s="192" t="s">
        <v>601</v>
      </c>
      <c r="J367" s="192" t="s">
        <v>602</v>
      </c>
      <c r="K367" s="192" t="s">
        <v>603</v>
      </c>
      <c r="L367" s="192" t="s">
        <v>604</v>
      </c>
      <c r="M367" s="192" t="s">
        <v>605</v>
      </c>
      <c r="N367" s="192"/>
      <c r="O367" s="192"/>
      <c r="P367" s="192" t="s">
        <v>704</v>
      </c>
      <c r="Q367" s="192" t="s">
        <v>1287</v>
      </c>
      <c r="R367" s="192" t="s">
        <v>606</v>
      </c>
    </row>
    <row r="368" spans="1:18" ht="13.15" customHeight="1" x14ac:dyDescent="0.25">
      <c r="A368" s="192" t="s">
        <v>1536</v>
      </c>
      <c r="B368" s="192" t="s">
        <v>295</v>
      </c>
      <c r="C368" s="192" t="s">
        <v>1668</v>
      </c>
      <c r="D368" s="192">
        <v>416.18</v>
      </c>
      <c r="E368" s="192">
        <v>593.14</v>
      </c>
      <c r="F368" s="193"/>
      <c r="G368" s="193"/>
      <c r="H368" s="192" t="s">
        <v>1669</v>
      </c>
      <c r="I368" s="192" t="s">
        <v>601</v>
      </c>
      <c r="J368" s="192" t="s">
        <v>602</v>
      </c>
      <c r="K368" s="192" t="s">
        <v>603</v>
      </c>
      <c r="L368" s="192" t="s">
        <v>604</v>
      </c>
      <c r="M368" s="192" t="s">
        <v>605</v>
      </c>
      <c r="N368" s="192"/>
      <c r="O368" s="192"/>
      <c r="P368" s="192" t="s">
        <v>704</v>
      </c>
      <c r="Q368" s="192" t="s">
        <v>1013</v>
      </c>
      <c r="R368" s="192" t="s">
        <v>606</v>
      </c>
    </row>
    <row r="369" spans="1:18" ht="13.15" customHeight="1" x14ac:dyDescent="0.25">
      <c r="A369" s="192" t="s">
        <v>1536</v>
      </c>
      <c r="B369" s="192" t="s">
        <v>1666</v>
      </c>
      <c r="C369" s="192" t="s">
        <v>1665</v>
      </c>
      <c r="D369" s="192">
        <v>225.46</v>
      </c>
      <c r="E369" s="192">
        <v>321.33</v>
      </c>
      <c r="F369" s="193"/>
      <c r="G369" s="193"/>
      <c r="H369" s="192" t="s">
        <v>1667</v>
      </c>
      <c r="I369" s="192" t="s">
        <v>601</v>
      </c>
      <c r="J369" s="192" t="s">
        <v>602</v>
      </c>
      <c r="K369" s="192" t="s">
        <v>603</v>
      </c>
      <c r="L369" s="192" t="s">
        <v>604</v>
      </c>
      <c r="M369" s="192" t="s">
        <v>605</v>
      </c>
      <c r="N369" s="192"/>
      <c r="O369" s="192"/>
      <c r="P369" s="192"/>
      <c r="Q369" s="192"/>
      <c r="R369" s="192" t="s">
        <v>606</v>
      </c>
    </row>
    <row r="370" spans="1:18" ht="13.15" customHeight="1" x14ac:dyDescent="0.25">
      <c r="A370" s="192" t="s">
        <v>1536</v>
      </c>
      <c r="B370" s="192" t="s">
        <v>281</v>
      </c>
      <c r="C370" s="192" t="s">
        <v>1663</v>
      </c>
      <c r="D370" s="192">
        <v>41.34</v>
      </c>
      <c r="E370" s="192">
        <v>58.92</v>
      </c>
      <c r="F370" s="193"/>
      <c r="G370" s="193"/>
      <c r="H370" s="192" t="s">
        <v>1664</v>
      </c>
      <c r="I370" s="192" t="s">
        <v>601</v>
      </c>
      <c r="J370" s="192" t="s">
        <v>602</v>
      </c>
      <c r="K370" s="192" t="s">
        <v>603</v>
      </c>
      <c r="L370" s="192" t="s">
        <v>604</v>
      </c>
      <c r="M370" s="192" t="s">
        <v>605</v>
      </c>
      <c r="N370" s="192"/>
      <c r="O370" s="192"/>
      <c r="P370" s="192" t="s">
        <v>704</v>
      </c>
      <c r="Q370" s="192" t="s">
        <v>1013</v>
      </c>
      <c r="R370" s="192" t="s">
        <v>606</v>
      </c>
    </row>
    <row r="371" spans="1:18" ht="13.15" customHeight="1" x14ac:dyDescent="0.25">
      <c r="A371" s="192" t="s">
        <v>1536</v>
      </c>
      <c r="B371" s="192" t="s">
        <v>1661</v>
      </c>
      <c r="C371" s="192" t="s">
        <v>1660</v>
      </c>
      <c r="D371" s="192">
        <v>154.35</v>
      </c>
      <c r="E371" s="192">
        <v>219.98</v>
      </c>
      <c r="F371" s="193"/>
      <c r="G371" s="193"/>
      <c r="H371" s="192" t="s">
        <v>1662</v>
      </c>
      <c r="I371" s="192" t="s">
        <v>601</v>
      </c>
      <c r="J371" s="192" t="s">
        <v>602</v>
      </c>
      <c r="K371" s="192" t="s">
        <v>603</v>
      </c>
      <c r="L371" s="192" t="s">
        <v>604</v>
      </c>
      <c r="M371" s="192" t="s">
        <v>605</v>
      </c>
      <c r="N371" s="192"/>
      <c r="O371" s="192"/>
      <c r="P371" s="192"/>
      <c r="Q371" s="192"/>
      <c r="R371" s="192" t="s">
        <v>606</v>
      </c>
    </row>
    <row r="372" spans="1:18" ht="13.15" customHeight="1" x14ac:dyDescent="0.25">
      <c r="A372" s="192" t="s">
        <v>1536</v>
      </c>
      <c r="B372" s="192" t="s">
        <v>285</v>
      </c>
      <c r="C372" s="192" t="s">
        <v>1658</v>
      </c>
      <c r="D372" s="192">
        <v>38.04</v>
      </c>
      <c r="E372" s="192">
        <v>54.21</v>
      </c>
      <c r="F372" s="193"/>
      <c r="G372" s="193"/>
      <c r="H372" s="192" t="s">
        <v>1659</v>
      </c>
      <c r="I372" s="192" t="s">
        <v>601</v>
      </c>
      <c r="J372" s="192" t="s">
        <v>602</v>
      </c>
      <c r="K372" s="192" t="s">
        <v>603</v>
      </c>
      <c r="L372" s="192" t="s">
        <v>604</v>
      </c>
      <c r="M372" s="192" t="s">
        <v>605</v>
      </c>
      <c r="N372" s="192"/>
      <c r="O372" s="192"/>
      <c r="P372" s="192" t="s">
        <v>704</v>
      </c>
      <c r="Q372" s="192" t="s">
        <v>1013</v>
      </c>
      <c r="R372" s="192" t="s">
        <v>606</v>
      </c>
    </row>
    <row r="373" spans="1:18" ht="13.15" customHeight="1" x14ac:dyDescent="0.25">
      <c r="A373" s="192" t="s">
        <v>1249</v>
      </c>
      <c r="B373" s="194"/>
      <c r="C373" s="192" t="s">
        <v>1307</v>
      </c>
      <c r="D373" s="192"/>
      <c r="E373" s="192"/>
      <c r="F373" s="193"/>
      <c r="G373" s="193"/>
      <c r="H373" s="192" t="s">
        <v>1308</v>
      </c>
      <c r="I373" s="192" t="s">
        <v>601</v>
      </c>
      <c r="J373" s="192" t="s">
        <v>602</v>
      </c>
      <c r="K373" s="192" t="s">
        <v>603</v>
      </c>
      <c r="L373" s="192" t="s">
        <v>604</v>
      </c>
      <c r="M373" s="192" t="s">
        <v>605</v>
      </c>
      <c r="N373" s="192"/>
      <c r="O373" s="192"/>
      <c r="P373" s="192"/>
      <c r="Q373" s="192"/>
      <c r="R373" s="192" t="s">
        <v>606</v>
      </c>
    </row>
    <row r="374" spans="1:18" ht="13.15" customHeight="1" x14ac:dyDescent="0.25">
      <c r="A374" s="192" t="s">
        <v>1008</v>
      </c>
      <c r="B374" s="192" t="s">
        <v>175</v>
      </c>
      <c r="C374" s="192" t="s">
        <v>1183</v>
      </c>
      <c r="D374" s="192">
        <v>56.77</v>
      </c>
      <c r="E374" s="192">
        <v>80.91</v>
      </c>
      <c r="F374" s="193"/>
      <c r="G374" s="193"/>
      <c r="H374" s="192" t="s">
        <v>1184</v>
      </c>
      <c r="I374" s="192" t="s">
        <v>601</v>
      </c>
      <c r="J374" s="192" t="s">
        <v>602</v>
      </c>
      <c r="K374" s="192" t="s">
        <v>603</v>
      </c>
      <c r="L374" s="192" t="s">
        <v>604</v>
      </c>
      <c r="M374" s="192" t="s">
        <v>605</v>
      </c>
      <c r="N374" s="192"/>
      <c r="O374" s="192"/>
      <c r="P374" s="192" t="s">
        <v>704</v>
      </c>
      <c r="Q374" s="192" t="s">
        <v>1016</v>
      </c>
      <c r="R374" s="192" t="s">
        <v>606</v>
      </c>
    </row>
    <row r="375" spans="1:18" ht="13.15" customHeight="1" x14ac:dyDescent="0.25">
      <c r="A375" s="192" t="s">
        <v>1008</v>
      </c>
      <c r="B375" s="194"/>
      <c r="C375" s="192" t="s">
        <v>1181</v>
      </c>
      <c r="D375" s="192"/>
      <c r="E375" s="192"/>
      <c r="F375" s="193"/>
      <c r="G375" s="193"/>
      <c r="H375" s="192" t="s">
        <v>1182</v>
      </c>
      <c r="I375" s="192" t="s">
        <v>601</v>
      </c>
      <c r="J375" s="192" t="s">
        <v>602</v>
      </c>
      <c r="K375" s="192" t="s">
        <v>603</v>
      </c>
      <c r="L375" s="192" t="s">
        <v>604</v>
      </c>
      <c r="M375" s="192" t="s">
        <v>605</v>
      </c>
      <c r="N375" s="192"/>
      <c r="O375" s="192"/>
      <c r="P375" s="192"/>
      <c r="Q375" s="192"/>
      <c r="R375" s="192" t="s">
        <v>606</v>
      </c>
    </row>
    <row r="376" spans="1:18" ht="13.15" customHeight="1" x14ac:dyDescent="0.25">
      <c r="A376" s="192" t="s">
        <v>1008</v>
      </c>
      <c r="B376" s="194"/>
      <c r="C376" s="192" t="s">
        <v>1179</v>
      </c>
      <c r="D376" s="192"/>
      <c r="E376" s="192"/>
      <c r="F376" s="193"/>
      <c r="G376" s="193"/>
      <c r="H376" s="192" t="s">
        <v>1180</v>
      </c>
      <c r="I376" s="192" t="s">
        <v>601</v>
      </c>
      <c r="J376" s="192" t="s">
        <v>602</v>
      </c>
      <c r="K376" s="192" t="s">
        <v>603</v>
      </c>
      <c r="L376" s="192" t="s">
        <v>604</v>
      </c>
      <c r="M376" s="192" t="s">
        <v>605</v>
      </c>
      <c r="N376" s="192"/>
      <c r="O376" s="192"/>
      <c r="P376" s="192"/>
      <c r="Q376" s="192"/>
      <c r="R376" s="192" t="s">
        <v>606</v>
      </c>
    </row>
    <row r="377" spans="1:18" ht="13.15" customHeight="1" x14ac:dyDescent="0.25">
      <c r="A377" s="192" t="s">
        <v>1249</v>
      </c>
      <c r="B377" s="194"/>
      <c r="C377" s="192" t="s">
        <v>1305</v>
      </c>
      <c r="D377" s="192"/>
      <c r="E377" s="192"/>
      <c r="F377" s="193"/>
      <c r="G377" s="193"/>
      <c r="H377" s="192" t="s">
        <v>1306</v>
      </c>
      <c r="I377" s="192" t="s">
        <v>601</v>
      </c>
      <c r="J377" s="192" t="s">
        <v>602</v>
      </c>
      <c r="K377" s="192" t="s">
        <v>603</v>
      </c>
      <c r="L377" s="192" t="s">
        <v>604</v>
      </c>
      <c r="M377" s="192" t="s">
        <v>605</v>
      </c>
      <c r="N377" s="192"/>
      <c r="O377" s="192"/>
      <c r="P377" s="192"/>
      <c r="Q377" s="192"/>
      <c r="R377" s="192" t="s">
        <v>606</v>
      </c>
    </row>
    <row r="378" spans="1:18" ht="13.15" customHeight="1" x14ac:dyDescent="0.25">
      <c r="A378" s="192" t="s">
        <v>1249</v>
      </c>
      <c r="B378" s="192" t="s">
        <v>220</v>
      </c>
      <c r="C378" s="192" t="s">
        <v>1303</v>
      </c>
      <c r="D378" s="192">
        <v>2077.62</v>
      </c>
      <c r="E378" s="192">
        <v>2961.02</v>
      </c>
      <c r="F378" s="193"/>
      <c r="G378" s="193"/>
      <c r="H378" s="192" t="s">
        <v>1304</v>
      </c>
      <c r="I378" s="192" t="s">
        <v>601</v>
      </c>
      <c r="J378" s="192" t="s">
        <v>602</v>
      </c>
      <c r="K378" s="192" t="s">
        <v>603</v>
      </c>
      <c r="L378" s="192" t="s">
        <v>604</v>
      </c>
      <c r="M378" s="192" t="s">
        <v>605</v>
      </c>
      <c r="N378" s="192"/>
      <c r="O378" s="192"/>
      <c r="P378" s="192" t="s">
        <v>704</v>
      </c>
      <c r="Q378" s="192" t="s">
        <v>1287</v>
      </c>
      <c r="R378" s="192" t="s">
        <v>606</v>
      </c>
    </row>
    <row r="379" spans="1:18" ht="13.15" customHeight="1" x14ac:dyDescent="0.25">
      <c r="A379" s="192" t="s">
        <v>1249</v>
      </c>
      <c r="B379" s="194"/>
      <c r="C379" s="192" t="s">
        <v>1301</v>
      </c>
      <c r="D379" s="192">
        <v>82685.63</v>
      </c>
      <c r="E379" s="192">
        <v>117843.56</v>
      </c>
      <c r="F379" s="193"/>
      <c r="G379" s="193"/>
      <c r="H379" s="192" t="s">
        <v>1302</v>
      </c>
      <c r="I379" s="192" t="s">
        <v>601</v>
      </c>
      <c r="J379" s="192" t="s">
        <v>602</v>
      </c>
      <c r="K379" s="192" t="s">
        <v>603</v>
      </c>
      <c r="L379" s="192" t="s">
        <v>695</v>
      </c>
      <c r="M379" s="192" t="s">
        <v>605</v>
      </c>
      <c r="N379" s="192"/>
      <c r="O379" s="192"/>
      <c r="P379" s="192"/>
      <c r="Q379" s="192"/>
      <c r="R379" s="192" t="s">
        <v>606</v>
      </c>
    </row>
    <row r="380" spans="1:18" ht="13.15" customHeight="1" x14ac:dyDescent="0.25">
      <c r="A380" s="192" t="s">
        <v>1249</v>
      </c>
      <c r="B380" s="194"/>
      <c r="C380" s="192" t="s">
        <v>1299</v>
      </c>
      <c r="D380" s="192">
        <v>34815.61</v>
      </c>
      <c r="E380" s="192">
        <v>49619.21</v>
      </c>
      <c r="F380" s="193"/>
      <c r="G380" s="193"/>
      <c r="H380" s="192" t="s">
        <v>1300</v>
      </c>
      <c r="I380" s="192" t="s">
        <v>601</v>
      </c>
      <c r="J380" s="192" t="s">
        <v>602</v>
      </c>
      <c r="K380" s="192" t="s">
        <v>603</v>
      </c>
      <c r="L380" s="192" t="s">
        <v>695</v>
      </c>
      <c r="M380" s="192" t="s">
        <v>605</v>
      </c>
      <c r="N380" s="192"/>
      <c r="O380" s="192"/>
      <c r="P380" s="192" t="s">
        <v>1286</v>
      </c>
      <c r="Q380" s="192" t="s">
        <v>1287</v>
      </c>
      <c r="R380" s="192" t="s">
        <v>606</v>
      </c>
    </row>
    <row r="381" spans="1:18" ht="13.15" customHeight="1" x14ac:dyDescent="0.25">
      <c r="A381" s="192" t="s">
        <v>1249</v>
      </c>
      <c r="B381" s="194"/>
      <c r="C381" s="192" t="s">
        <v>1297</v>
      </c>
      <c r="D381" s="192">
        <v>55601.67</v>
      </c>
      <c r="E381" s="192">
        <v>79243.5</v>
      </c>
      <c r="F381" s="193"/>
      <c r="G381" s="193"/>
      <c r="H381" s="192" t="s">
        <v>1298</v>
      </c>
      <c r="I381" s="192" t="s">
        <v>601</v>
      </c>
      <c r="J381" s="192" t="s">
        <v>602</v>
      </c>
      <c r="K381" s="192" t="s">
        <v>603</v>
      </c>
      <c r="L381" s="192" t="s">
        <v>695</v>
      </c>
      <c r="M381" s="192" t="s">
        <v>605</v>
      </c>
      <c r="N381" s="192"/>
      <c r="O381" s="192"/>
      <c r="P381" s="192" t="s">
        <v>1286</v>
      </c>
      <c r="Q381" s="192" t="s">
        <v>1287</v>
      </c>
      <c r="R381" s="192" t="s">
        <v>606</v>
      </c>
    </row>
    <row r="382" spans="1:18" ht="13.15" customHeight="1" x14ac:dyDescent="0.25">
      <c r="A382" s="192" t="s">
        <v>1249</v>
      </c>
      <c r="B382" s="194"/>
      <c r="C382" s="192" t="s">
        <v>1295</v>
      </c>
      <c r="D382" s="192">
        <v>50905.13</v>
      </c>
      <c r="E382" s="192">
        <v>72549.990000000005</v>
      </c>
      <c r="F382" s="193"/>
      <c r="G382" s="193"/>
      <c r="H382" s="192" t="s">
        <v>1296</v>
      </c>
      <c r="I382" s="192" t="s">
        <v>601</v>
      </c>
      <c r="J382" s="192" t="s">
        <v>602</v>
      </c>
      <c r="K382" s="192" t="s">
        <v>603</v>
      </c>
      <c r="L382" s="192" t="s">
        <v>695</v>
      </c>
      <c r="M382" s="192" t="s">
        <v>605</v>
      </c>
      <c r="N382" s="192"/>
      <c r="O382" s="192"/>
      <c r="P382" s="192" t="s">
        <v>1286</v>
      </c>
      <c r="Q382" s="192" t="s">
        <v>1287</v>
      </c>
      <c r="R382" s="192" t="s">
        <v>606</v>
      </c>
    </row>
    <row r="383" spans="1:18" ht="13.15" customHeight="1" x14ac:dyDescent="0.25">
      <c r="A383" s="192" t="s">
        <v>1249</v>
      </c>
      <c r="B383" s="194"/>
      <c r="C383" s="192" t="s">
        <v>1293</v>
      </c>
      <c r="D383" s="192">
        <v>60746.37</v>
      </c>
      <c r="E383" s="192">
        <v>86575.73</v>
      </c>
      <c r="F383" s="193"/>
      <c r="G383" s="193"/>
      <c r="H383" s="192" t="s">
        <v>1294</v>
      </c>
      <c r="I383" s="192" t="s">
        <v>601</v>
      </c>
      <c r="J383" s="192" t="s">
        <v>602</v>
      </c>
      <c r="K383" s="192" t="s">
        <v>603</v>
      </c>
      <c r="L383" s="192" t="s">
        <v>695</v>
      </c>
      <c r="M383" s="192" t="s">
        <v>605</v>
      </c>
      <c r="N383" s="192"/>
      <c r="O383" s="192"/>
      <c r="P383" s="192"/>
      <c r="Q383" s="192"/>
      <c r="R383" s="192" t="s">
        <v>606</v>
      </c>
    </row>
    <row r="384" spans="1:18" ht="13.15" customHeight="1" x14ac:dyDescent="0.25">
      <c r="A384" s="192" t="s">
        <v>1249</v>
      </c>
      <c r="B384" s="192" t="s">
        <v>1291</v>
      </c>
      <c r="C384" s="192" t="s">
        <v>1290</v>
      </c>
      <c r="D384" s="192">
        <v>35087.919999999998</v>
      </c>
      <c r="E384" s="192">
        <v>50007.3</v>
      </c>
      <c r="F384" s="193"/>
      <c r="G384" s="193"/>
      <c r="H384" s="192" t="s">
        <v>1292</v>
      </c>
      <c r="I384" s="192" t="s">
        <v>601</v>
      </c>
      <c r="J384" s="192" t="s">
        <v>602</v>
      </c>
      <c r="K384" s="192" t="s">
        <v>603</v>
      </c>
      <c r="L384" s="192" t="s">
        <v>695</v>
      </c>
      <c r="M384" s="192" t="s">
        <v>605</v>
      </c>
      <c r="N384" s="192"/>
      <c r="O384" s="192"/>
      <c r="P384" s="192" t="s">
        <v>1286</v>
      </c>
      <c r="Q384" s="192" t="s">
        <v>1287</v>
      </c>
      <c r="R384" s="192" t="s">
        <v>606</v>
      </c>
    </row>
    <row r="385" spans="1:18" ht="13.15" customHeight="1" x14ac:dyDescent="0.25">
      <c r="A385" s="192" t="s">
        <v>1249</v>
      </c>
      <c r="B385" s="194"/>
      <c r="C385" s="192" t="s">
        <v>1288</v>
      </c>
      <c r="D385" s="192">
        <v>42918.8</v>
      </c>
      <c r="E385" s="192">
        <v>61167.87</v>
      </c>
      <c r="F385" s="193"/>
      <c r="G385" s="193"/>
      <c r="H385" s="192" t="s">
        <v>1289</v>
      </c>
      <c r="I385" s="192" t="s">
        <v>601</v>
      </c>
      <c r="J385" s="192" t="s">
        <v>602</v>
      </c>
      <c r="K385" s="192" t="s">
        <v>603</v>
      </c>
      <c r="L385" s="192" t="s">
        <v>695</v>
      </c>
      <c r="M385" s="192" t="s">
        <v>605</v>
      </c>
      <c r="N385" s="192"/>
      <c r="O385" s="192"/>
      <c r="P385" s="192" t="s">
        <v>1286</v>
      </c>
      <c r="Q385" s="192" t="s">
        <v>1287</v>
      </c>
      <c r="R385" s="192" t="s">
        <v>606</v>
      </c>
    </row>
    <row r="386" spans="1:18" ht="13.15" customHeight="1" x14ac:dyDescent="0.25">
      <c r="A386" s="192" t="s">
        <v>1249</v>
      </c>
      <c r="B386" s="194"/>
      <c r="C386" s="192" t="s">
        <v>1284</v>
      </c>
      <c r="D386" s="192">
        <v>29619.65</v>
      </c>
      <c r="E386" s="192">
        <v>42213.93</v>
      </c>
      <c r="F386" s="193"/>
      <c r="G386" s="193"/>
      <c r="H386" s="192" t="s">
        <v>1285</v>
      </c>
      <c r="I386" s="192" t="s">
        <v>601</v>
      </c>
      <c r="J386" s="192" t="s">
        <v>602</v>
      </c>
      <c r="K386" s="192" t="s">
        <v>603</v>
      </c>
      <c r="L386" s="192" t="s">
        <v>695</v>
      </c>
      <c r="M386" s="192" t="s">
        <v>605</v>
      </c>
      <c r="N386" s="192"/>
      <c r="O386" s="192"/>
      <c r="P386" s="192" t="s">
        <v>1286</v>
      </c>
      <c r="Q386" s="192" t="s">
        <v>1287</v>
      </c>
      <c r="R386" s="192" t="s">
        <v>606</v>
      </c>
    </row>
    <row r="387" spans="1:18" ht="13.15" customHeight="1" x14ac:dyDescent="0.25">
      <c r="A387" s="192" t="s">
        <v>1008</v>
      </c>
      <c r="B387" s="194"/>
      <c r="C387" s="192" t="s">
        <v>1177</v>
      </c>
      <c r="D387" s="192"/>
      <c r="E387" s="192"/>
      <c r="F387" s="193"/>
      <c r="G387" s="193"/>
      <c r="H387" s="192" t="s">
        <v>1178</v>
      </c>
      <c r="I387" s="192" t="s">
        <v>601</v>
      </c>
      <c r="J387" s="192" t="s">
        <v>602</v>
      </c>
      <c r="K387" s="192" t="s">
        <v>603</v>
      </c>
      <c r="L387" s="192" t="s">
        <v>604</v>
      </c>
      <c r="M387" s="192" t="s">
        <v>605</v>
      </c>
      <c r="N387" s="192"/>
      <c r="O387" s="192"/>
      <c r="P387" s="192"/>
      <c r="Q387" s="192"/>
      <c r="R387" s="192" t="s">
        <v>606</v>
      </c>
    </row>
    <row r="388" spans="1:18" ht="13.15" customHeight="1" x14ac:dyDescent="0.25">
      <c r="A388" s="192" t="s">
        <v>1008</v>
      </c>
      <c r="B388" s="192" t="s">
        <v>1175</v>
      </c>
      <c r="C388" s="192" t="s">
        <v>1174</v>
      </c>
      <c r="D388" s="192"/>
      <c r="E388" s="192"/>
      <c r="F388" s="193"/>
      <c r="G388" s="193"/>
      <c r="H388" s="192" t="s">
        <v>1176</v>
      </c>
      <c r="I388" s="192" t="s">
        <v>601</v>
      </c>
      <c r="J388" s="192" t="s">
        <v>602</v>
      </c>
      <c r="K388" s="192" t="s">
        <v>603</v>
      </c>
      <c r="L388" s="192" t="s">
        <v>604</v>
      </c>
      <c r="M388" s="192" t="s">
        <v>605</v>
      </c>
      <c r="N388" s="192"/>
      <c r="O388" s="192"/>
      <c r="P388" s="192"/>
      <c r="Q388" s="192"/>
      <c r="R388" s="192" t="s">
        <v>606</v>
      </c>
    </row>
    <row r="389" spans="1:18" ht="13.15" customHeight="1" x14ac:dyDescent="0.25">
      <c r="A389" s="192" t="s">
        <v>1008</v>
      </c>
      <c r="B389" s="192" t="s">
        <v>1172</v>
      </c>
      <c r="C389" s="192" t="s">
        <v>1171</v>
      </c>
      <c r="D389" s="192"/>
      <c r="E389" s="192"/>
      <c r="F389" s="193"/>
      <c r="G389" s="193"/>
      <c r="H389" s="192" t="s">
        <v>1173</v>
      </c>
      <c r="I389" s="192" t="s">
        <v>601</v>
      </c>
      <c r="J389" s="192" t="s">
        <v>602</v>
      </c>
      <c r="K389" s="192" t="s">
        <v>668</v>
      </c>
      <c r="L389" s="192" t="s">
        <v>604</v>
      </c>
      <c r="M389" s="192" t="s">
        <v>605</v>
      </c>
      <c r="N389" s="192"/>
      <c r="O389" s="192"/>
      <c r="P389" s="192"/>
      <c r="Q389" s="192"/>
      <c r="R389" s="192" t="s">
        <v>606</v>
      </c>
    </row>
    <row r="390" spans="1:18" ht="13.15" customHeight="1" x14ac:dyDescent="0.25">
      <c r="A390" s="192" t="s">
        <v>1008</v>
      </c>
      <c r="B390" s="192" t="s">
        <v>1169</v>
      </c>
      <c r="C390" s="192" t="s">
        <v>1168</v>
      </c>
      <c r="D390" s="192"/>
      <c r="E390" s="192"/>
      <c r="F390" s="193"/>
      <c r="G390" s="193"/>
      <c r="H390" s="192" t="s">
        <v>1170</v>
      </c>
      <c r="I390" s="192" t="s">
        <v>601</v>
      </c>
      <c r="J390" s="192" t="s">
        <v>602</v>
      </c>
      <c r="K390" s="192" t="s">
        <v>603</v>
      </c>
      <c r="L390" s="192" t="s">
        <v>604</v>
      </c>
      <c r="M390" s="192" t="s">
        <v>605</v>
      </c>
      <c r="N390" s="192"/>
      <c r="O390" s="192"/>
      <c r="P390" s="192"/>
      <c r="Q390" s="192"/>
      <c r="R390" s="192" t="s">
        <v>606</v>
      </c>
    </row>
    <row r="391" spans="1:18" ht="13.15" customHeight="1" x14ac:dyDescent="0.25">
      <c r="A391" s="192" t="s">
        <v>1008</v>
      </c>
      <c r="B391" s="192" t="s">
        <v>1166</v>
      </c>
      <c r="C391" s="192" t="s">
        <v>1165</v>
      </c>
      <c r="D391" s="192"/>
      <c r="E391" s="192"/>
      <c r="F391" s="193"/>
      <c r="G391" s="193"/>
      <c r="H391" s="192" t="s">
        <v>1167</v>
      </c>
      <c r="I391" s="192" t="s">
        <v>601</v>
      </c>
      <c r="J391" s="192" t="s">
        <v>602</v>
      </c>
      <c r="K391" s="192" t="s">
        <v>603</v>
      </c>
      <c r="L391" s="192" t="s">
        <v>604</v>
      </c>
      <c r="M391" s="192" t="s">
        <v>605</v>
      </c>
      <c r="N391" s="192"/>
      <c r="O391" s="192"/>
      <c r="P391" s="192"/>
      <c r="Q391" s="192"/>
      <c r="R391" s="192" t="s">
        <v>606</v>
      </c>
    </row>
    <row r="392" spans="1:18" ht="13.15" customHeight="1" x14ac:dyDescent="0.25">
      <c r="A392" s="192" t="s">
        <v>1008</v>
      </c>
      <c r="B392" s="194"/>
      <c r="C392" s="192" t="s">
        <v>1163</v>
      </c>
      <c r="D392" s="192"/>
      <c r="E392" s="192"/>
      <c r="F392" s="193"/>
      <c r="G392" s="193"/>
      <c r="H392" s="192" t="s">
        <v>1164</v>
      </c>
      <c r="I392" s="192" t="s">
        <v>601</v>
      </c>
      <c r="J392" s="192" t="s">
        <v>602</v>
      </c>
      <c r="K392" s="192" t="s">
        <v>603</v>
      </c>
      <c r="L392" s="192" t="s">
        <v>604</v>
      </c>
      <c r="M392" s="192" t="s">
        <v>605</v>
      </c>
      <c r="N392" s="192"/>
      <c r="O392" s="192"/>
      <c r="P392" s="192"/>
      <c r="Q392" s="192"/>
      <c r="R392" s="192" t="s">
        <v>606</v>
      </c>
    </row>
    <row r="393" spans="1:18" ht="13.15" customHeight="1" x14ac:dyDescent="0.25">
      <c r="A393" s="192" t="s">
        <v>1008</v>
      </c>
      <c r="B393" s="192" t="s">
        <v>1161</v>
      </c>
      <c r="C393" s="192" t="s">
        <v>1160</v>
      </c>
      <c r="D393" s="192"/>
      <c r="E393" s="192"/>
      <c r="F393" s="193"/>
      <c r="G393" s="193"/>
      <c r="H393" s="192" t="s">
        <v>1162</v>
      </c>
      <c r="I393" s="192" t="s">
        <v>601</v>
      </c>
      <c r="J393" s="192" t="s">
        <v>602</v>
      </c>
      <c r="K393" s="192" t="s">
        <v>603</v>
      </c>
      <c r="L393" s="192" t="s">
        <v>604</v>
      </c>
      <c r="M393" s="192" t="s">
        <v>605</v>
      </c>
      <c r="N393" s="192"/>
      <c r="O393" s="192"/>
      <c r="P393" s="192"/>
      <c r="Q393" s="192"/>
      <c r="R393" s="192" t="s">
        <v>606</v>
      </c>
    </row>
    <row r="394" spans="1:18" ht="13.15" customHeight="1" x14ac:dyDescent="0.25">
      <c r="A394" s="192" t="s">
        <v>1536</v>
      </c>
      <c r="B394" s="194"/>
      <c r="C394" s="192" t="s">
        <v>1656</v>
      </c>
      <c r="D394" s="192"/>
      <c r="E394" s="192"/>
      <c r="F394" s="193"/>
      <c r="G394" s="193"/>
      <c r="H394" s="192" t="s">
        <v>1657</v>
      </c>
      <c r="I394" s="195" t="s">
        <v>1469</v>
      </c>
      <c r="J394" s="192" t="s">
        <v>602</v>
      </c>
      <c r="K394" s="192" t="s">
        <v>603</v>
      </c>
      <c r="L394" s="192" t="s">
        <v>604</v>
      </c>
      <c r="M394" s="192" t="s">
        <v>605</v>
      </c>
      <c r="N394" s="192"/>
      <c r="O394" s="192"/>
      <c r="P394" s="192"/>
      <c r="Q394" s="192"/>
      <c r="R394" s="192" t="s">
        <v>847</v>
      </c>
    </row>
    <row r="395" spans="1:18" ht="13.15" customHeight="1" x14ac:dyDescent="0.25">
      <c r="A395" s="192" t="s">
        <v>1249</v>
      </c>
      <c r="B395" s="192" t="s">
        <v>425</v>
      </c>
      <c r="C395" s="192" t="s">
        <v>1282</v>
      </c>
      <c r="D395" s="192">
        <v>18226.12</v>
      </c>
      <c r="E395" s="192">
        <v>25975.87</v>
      </c>
      <c r="F395" s="193"/>
      <c r="G395" s="193"/>
      <c r="H395" s="192" t="s">
        <v>1283</v>
      </c>
      <c r="I395" s="192" t="s">
        <v>601</v>
      </c>
      <c r="J395" s="192" t="s">
        <v>602</v>
      </c>
      <c r="K395" s="192" t="s">
        <v>603</v>
      </c>
      <c r="L395" s="192" t="s">
        <v>604</v>
      </c>
      <c r="M395" s="192" t="s">
        <v>605</v>
      </c>
      <c r="N395" s="192"/>
      <c r="O395" s="192"/>
      <c r="P395" s="192"/>
      <c r="Q395" s="192"/>
      <c r="R395" s="192" t="s">
        <v>606</v>
      </c>
    </row>
    <row r="396" spans="1:18" ht="13.15" customHeight="1" x14ac:dyDescent="0.25">
      <c r="A396" s="192" t="s">
        <v>1008</v>
      </c>
      <c r="B396" s="194"/>
      <c r="C396" s="192" t="s">
        <v>1158</v>
      </c>
      <c r="D396" s="192"/>
      <c r="E396" s="192"/>
      <c r="F396" s="193"/>
      <c r="G396" s="193"/>
      <c r="H396" s="192" t="s">
        <v>1159</v>
      </c>
      <c r="I396" s="192" t="s">
        <v>601</v>
      </c>
      <c r="J396" s="192" t="s">
        <v>602</v>
      </c>
      <c r="K396" s="192" t="s">
        <v>603</v>
      </c>
      <c r="L396" s="192" t="s">
        <v>604</v>
      </c>
      <c r="M396" s="192" t="s">
        <v>605</v>
      </c>
      <c r="N396" s="192"/>
      <c r="O396" s="192"/>
      <c r="P396" s="192"/>
      <c r="Q396" s="192"/>
      <c r="R396" s="192" t="s">
        <v>606</v>
      </c>
    </row>
    <row r="397" spans="1:18" ht="13.15" customHeight="1" x14ac:dyDescent="0.25">
      <c r="A397" s="192" t="s">
        <v>1249</v>
      </c>
      <c r="B397" s="192" t="s">
        <v>423</v>
      </c>
      <c r="C397" s="192" t="s">
        <v>1280</v>
      </c>
      <c r="D397" s="192">
        <v>17716.22</v>
      </c>
      <c r="E397" s="192">
        <v>25249.16</v>
      </c>
      <c r="F397" s="193"/>
      <c r="G397" s="193"/>
      <c r="H397" s="192" t="s">
        <v>1281</v>
      </c>
      <c r="I397" s="192" t="s">
        <v>601</v>
      </c>
      <c r="J397" s="192" t="s">
        <v>602</v>
      </c>
      <c r="K397" s="192" t="s">
        <v>603</v>
      </c>
      <c r="L397" s="192" t="s">
        <v>604</v>
      </c>
      <c r="M397" s="192" t="s">
        <v>605</v>
      </c>
      <c r="N397" s="192"/>
      <c r="O397" s="192"/>
      <c r="P397" s="192"/>
      <c r="Q397" s="192"/>
      <c r="R397" s="192" t="s">
        <v>606</v>
      </c>
    </row>
    <row r="398" spans="1:18" ht="13.15" customHeight="1" x14ac:dyDescent="0.25">
      <c r="A398" s="192" t="s">
        <v>1008</v>
      </c>
      <c r="B398" s="194"/>
      <c r="C398" s="192" t="s">
        <v>1156</v>
      </c>
      <c r="D398" s="192"/>
      <c r="E398" s="192"/>
      <c r="F398" s="193"/>
      <c r="G398" s="193"/>
      <c r="H398" s="192" t="s">
        <v>1157</v>
      </c>
      <c r="I398" s="192" t="s">
        <v>601</v>
      </c>
      <c r="J398" s="192" t="s">
        <v>602</v>
      </c>
      <c r="K398" s="192" t="s">
        <v>603</v>
      </c>
      <c r="L398" s="192" t="s">
        <v>604</v>
      </c>
      <c r="M398" s="192" t="s">
        <v>605</v>
      </c>
      <c r="N398" s="192"/>
      <c r="O398" s="192"/>
      <c r="P398" s="192"/>
      <c r="Q398" s="192"/>
      <c r="R398" s="192" t="s">
        <v>606</v>
      </c>
    </row>
    <row r="399" spans="1:18" ht="13.15" customHeight="1" x14ac:dyDescent="0.25">
      <c r="A399" s="192" t="s">
        <v>1249</v>
      </c>
      <c r="B399" s="192" t="s">
        <v>428</v>
      </c>
      <c r="C399" s="192" t="s">
        <v>1278</v>
      </c>
      <c r="D399" s="192">
        <v>18631.830000000002</v>
      </c>
      <c r="E399" s="192">
        <v>26554.080000000002</v>
      </c>
      <c r="F399" s="193"/>
      <c r="G399" s="193"/>
      <c r="H399" s="192" t="s">
        <v>1279</v>
      </c>
      <c r="I399" s="192" t="s">
        <v>601</v>
      </c>
      <c r="J399" s="192" t="s">
        <v>602</v>
      </c>
      <c r="K399" s="192" t="s">
        <v>603</v>
      </c>
      <c r="L399" s="192" t="s">
        <v>604</v>
      </c>
      <c r="M399" s="192" t="s">
        <v>605</v>
      </c>
      <c r="N399" s="192"/>
      <c r="O399" s="192"/>
      <c r="P399" s="192"/>
      <c r="Q399" s="192"/>
      <c r="R399" s="192" t="s">
        <v>606</v>
      </c>
    </row>
    <row r="400" spans="1:18" ht="13.15" customHeight="1" x14ac:dyDescent="0.25">
      <c r="A400" s="192" t="s">
        <v>1249</v>
      </c>
      <c r="B400" s="194"/>
      <c r="C400" s="192" t="s">
        <v>1276</v>
      </c>
      <c r="D400" s="192">
        <v>21608.51</v>
      </c>
      <c r="E400" s="192">
        <v>30796.45</v>
      </c>
      <c r="F400" s="193"/>
      <c r="G400" s="193"/>
      <c r="H400" s="192" t="s">
        <v>1277</v>
      </c>
      <c r="I400" s="192" t="s">
        <v>601</v>
      </c>
      <c r="J400" s="192" t="s">
        <v>602</v>
      </c>
      <c r="K400" s="192" t="s">
        <v>603</v>
      </c>
      <c r="L400" s="192" t="s">
        <v>695</v>
      </c>
      <c r="M400" s="192" t="s">
        <v>605</v>
      </c>
      <c r="N400" s="192"/>
      <c r="O400" s="192"/>
      <c r="P400" s="192"/>
      <c r="Q400" s="192"/>
      <c r="R400" s="192" t="s">
        <v>606</v>
      </c>
    </row>
    <row r="401" spans="1:18" ht="13.15" customHeight="1" x14ac:dyDescent="0.25">
      <c r="A401" s="192" t="s">
        <v>1536</v>
      </c>
      <c r="B401" s="194"/>
      <c r="C401" s="192" t="s">
        <v>1654</v>
      </c>
      <c r="D401" s="192"/>
      <c r="E401" s="192"/>
      <c r="F401" s="193"/>
      <c r="G401" s="193"/>
      <c r="H401" s="192" t="s">
        <v>1655</v>
      </c>
      <c r="I401" s="192" t="s">
        <v>601</v>
      </c>
      <c r="J401" s="192" t="s">
        <v>602</v>
      </c>
      <c r="K401" s="192" t="s">
        <v>603</v>
      </c>
      <c r="L401" s="192" t="s">
        <v>604</v>
      </c>
      <c r="M401" s="192" t="s">
        <v>605</v>
      </c>
      <c r="N401" s="192"/>
      <c r="O401" s="192"/>
      <c r="P401" s="192"/>
      <c r="Q401" s="192"/>
      <c r="R401" s="192" t="s">
        <v>606</v>
      </c>
    </row>
    <row r="402" spans="1:18" ht="13.15" customHeight="1" x14ac:dyDescent="0.25">
      <c r="A402" s="192" t="s">
        <v>1536</v>
      </c>
      <c r="B402" s="194"/>
      <c r="C402" s="192" t="s">
        <v>1652</v>
      </c>
      <c r="D402" s="192"/>
      <c r="E402" s="192"/>
      <c r="F402" s="193"/>
      <c r="G402" s="193"/>
      <c r="H402" s="192" t="s">
        <v>1653</v>
      </c>
      <c r="I402" s="192" t="s">
        <v>601</v>
      </c>
      <c r="J402" s="192" t="s">
        <v>602</v>
      </c>
      <c r="K402" s="192" t="s">
        <v>603</v>
      </c>
      <c r="L402" s="192" t="s">
        <v>604</v>
      </c>
      <c r="M402" s="192" t="s">
        <v>605</v>
      </c>
      <c r="N402" s="192"/>
      <c r="O402" s="192"/>
      <c r="P402" s="192"/>
      <c r="Q402" s="192"/>
      <c r="R402" s="192" t="s">
        <v>606</v>
      </c>
    </row>
    <row r="403" spans="1:18" ht="13.15" customHeight="1" x14ac:dyDescent="0.25">
      <c r="A403" s="192" t="s">
        <v>1536</v>
      </c>
      <c r="B403" s="194"/>
      <c r="C403" s="192" t="s">
        <v>1650</v>
      </c>
      <c r="D403" s="192"/>
      <c r="E403" s="192"/>
      <c r="F403" s="193"/>
      <c r="G403" s="193"/>
      <c r="H403" s="192" t="s">
        <v>1651</v>
      </c>
      <c r="I403" s="192" t="s">
        <v>601</v>
      </c>
      <c r="J403" s="192" t="s">
        <v>602</v>
      </c>
      <c r="K403" s="192" t="s">
        <v>603</v>
      </c>
      <c r="L403" s="192" t="s">
        <v>604</v>
      </c>
      <c r="M403" s="192" t="s">
        <v>605</v>
      </c>
      <c r="N403" s="192"/>
      <c r="O403" s="192"/>
      <c r="P403" s="192"/>
      <c r="Q403" s="192"/>
      <c r="R403" s="192" t="s">
        <v>606</v>
      </c>
    </row>
    <row r="404" spans="1:18" ht="13.15" customHeight="1" x14ac:dyDescent="0.25">
      <c r="A404" s="192" t="s">
        <v>1536</v>
      </c>
      <c r="B404" s="194"/>
      <c r="C404" s="192" t="s">
        <v>1648</v>
      </c>
      <c r="D404" s="192"/>
      <c r="E404" s="192"/>
      <c r="F404" s="193"/>
      <c r="G404" s="193"/>
      <c r="H404" s="192" t="s">
        <v>1649</v>
      </c>
      <c r="I404" s="192" t="s">
        <v>601</v>
      </c>
      <c r="J404" s="192" t="s">
        <v>602</v>
      </c>
      <c r="K404" s="192" t="s">
        <v>603</v>
      </c>
      <c r="L404" s="192" t="s">
        <v>604</v>
      </c>
      <c r="M404" s="192" t="s">
        <v>605</v>
      </c>
      <c r="N404" s="192"/>
      <c r="O404" s="192"/>
      <c r="P404" s="192"/>
      <c r="Q404" s="192"/>
      <c r="R404" s="192" t="s">
        <v>606</v>
      </c>
    </row>
    <row r="405" spans="1:18" ht="13.15" customHeight="1" x14ac:dyDescent="0.25">
      <c r="A405" s="192" t="s">
        <v>1536</v>
      </c>
      <c r="B405" s="194"/>
      <c r="C405" s="192" t="s">
        <v>1646</v>
      </c>
      <c r="D405" s="192"/>
      <c r="E405" s="192"/>
      <c r="F405" s="193"/>
      <c r="G405" s="193"/>
      <c r="H405" s="192" t="s">
        <v>1647</v>
      </c>
      <c r="I405" s="192" t="s">
        <v>601</v>
      </c>
      <c r="J405" s="192" t="s">
        <v>602</v>
      </c>
      <c r="K405" s="192" t="s">
        <v>603</v>
      </c>
      <c r="L405" s="192" t="s">
        <v>604</v>
      </c>
      <c r="M405" s="192" t="s">
        <v>605</v>
      </c>
      <c r="N405" s="192"/>
      <c r="O405" s="192"/>
      <c r="P405" s="192"/>
      <c r="Q405" s="192"/>
      <c r="R405" s="192" t="s">
        <v>606</v>
      </c>
    </row>
    <row r="406" spans="1:18" ht="13.15" customHeight="1" x14ac:dyDescent="0.25">
      <c r="A406" s="192" t="s">
        <v>1008</v>
      </c>
      <c r="B406" s="194"/>
      <c r="C406" s="192" t="s">
        <v>1140</v>
      </c>
      <c r="D406" s="192"/>
      <c r="E406" s="192"/>
      <c r="F406" s="193"/>
      <c r="G406" s="193"/>
      <c r="H406" s="192" t="s">
        <v>1141</v>
      </c>
      <c r="I406" s="192" t="s">
        <v>601</v>
      </c>
      <c r="J406" s="192" t="s">
        <v>602</v>
      </c>
      <c r="K406" s="192" t="s">
        <v>603</v>
      </c>
      <c r="L406" s="192" t="s">
        <v>604</v>
      </c>
      <c r="M406" s="192" t="s">
        <v>605</v>
      </c>
      <c r="N406" s="192"/>
      <c r="O406" s="192"/>
      <c r="P406" s="192"/>
      <c r="Q406" s="192"/>
      <c r="R406" s="192" t="s">
        <v>606</v>
      </c>
    </row>
    <row r="407" spans="1:18" ht="13.15" customHeight="1" x14ac:dyDescent="0.25">
      <c r="A407" s="192" t="s">
        <v>1008</v>
      </c>
      <c r="B407" s="194"/>
      <c r="C407" s="192" t="s">
        <v>1138</v>
      </c>
      <c r="D407" s="192"/>
      <c r="E407" s="192"/>
      <c r="F407" s="193"/>
      <c r="G407" s="193"/>
      <c r="H407" s="192" t="s">
        <v>1139</v>
      </c>
      <c r="I407" s="192" t="s">
        <v>601</v>
      </c>
      <c r="J407" s="192" t="s">
        <v>602</v>
      </c>
      <c r="K407" s="192" t="s">
        <v>603</v>
      </c>
      <c r="L407" s="192" t="s">
        <v>604</v>
      </c>
      <c r="M407" s="192" t="s">
        <v>605</v>
      </c>
      <c r="N407" s="192"/>
      <c r="O407" s="192"/>
      <c r="P407" s="192"/>
      <c r="Q407" s="192"/>
      <c r="R407" s="192" t="s">
        <v>606</v>
      </c>
    </row>
    <row r="408" spans="1:18" ht="13.15" customHeight="1" x14ac:dyDescent="0.25">
      <c r="A408" s="192" t="s">
        <v>1008</v>
      </c>
      <c r="B408" s="194"/>
      <c r="C408" s="192" t="s">
        <v>1154</v>
      </c>
      <c r="D408" s="192"/>
      <c r="E408" s="192"/>
      <c r="F408" s="193"/>
      <c r="G408" s="193"/>
      <c r="H408" s="192" t="s">
        <v>1155</v>
      </c>
      <c r="I408" s="192" t="s">
        <v>601</v>
      </c>
      <c r="J408" s="192" t="s">
        <v>602</v>
      </c>
      <c r="K408" s="192" t="s">
        <v>603</v>
      </c>
      <c r="L408" s="192" t="s">
        <v>604</v>
      </c>
      <c r="M408" s="192" t="s">
        <v>605</v>
      </c>
      <c r="N408" s="192"/>
      <c r="O408" s="192"/>
      <c r="P408" s="192"/>
      <c r="Q408" s="192"/>
      <c r="R408" s="192" t="s">
        <v>606</v>
      </c>
    </row>
    <row r="409" spans="1:18" ht="13.15" customHeight="1" x14ac:dyDescent="0.25">
      <c r="A409" s="192" t="s">
        <v>1008</v>
      </c>
      <c r="B409" s="194"/>
      <c r="C409" s="192" t="s">
        <v>1152</v>
      </c>
      <c r="D409" s="192"/>
      <c r="E409" s="192"/>
      <c r="F409" s="193"/>
      <c r="G409" s="193"/>
      <c r="H409" s="192" t="s">
        <v>1153</v>
      </c>
      <c r="I409" s="192" t="s">
        <v>601</v>
      </c>
      <c r="J409" s="192" t="s">
        <v>602</v>
      </c>
      <c r="K409" s="192" t="s">
        <v>603</v>
      </c>
      <c r="L409" s="192" t="s">
        <v>604</v>
      </c>
      <c r="M409" s="192" t="s">
        <v>605</v>
      </c>
      <c r="N409" s="192"/>
      <c r="O409" s="192"/>
      <c r="P409" s="192"/>
      <c r="Q409" s="192"/>
      <c r="R409" s="192" t="s">
        <v>606</v>
      </c>
    </row>
    <row r="410" spans="1:18" ht="13.15" customHeight="1" x14ac:dyDescent="0.25">
      <c r="A410" s="192" t="s">
        <v>1008</v>
      </c>
      <c r="B410" s="194"/>
      <c r="C410" s="192" t="s">
        <v>1150</v>
      </c>
      <c r="D410" s="192"/>
      <c r="E410" s="192"/>
      <c r="F410" s="193"/>
      <c r="G410" s="193"/>
      <c r="H410" s="192" t="s">
        <v>1151</v>
      </c>
      <c r="I410" s="192" t="s">
        <v>601</v>
      </c>
      <c r="J410" s="192" t="s">
        <v>602</v>
      </c>
      <c r="K410" s="192" t="s">
        <v>603</v>
      </c>
      <c r="L410" s="192" t="s">
        <v>604</v>
      </c>
      <c r="M410" s="192" t="s">
        <v>605</v>
      </c>
      <c r="N410" s="192"/>
      <c r="O410" s="192"/>
      <c r="P410" s="192"/>
      <c r="Q410" s="192"/>
      <c r="R410" s="192" t="s">
        <v>606</v>
      </c>
    </row>
    <row r="411" spans="1:18" ht="13.15" customHeight="1" x14ac:dyDescent="0.25">
      <c r="A411" s="192" t="s">
        <v>1008</v>
      </c>
      <c r="B411" s="194"/>
      <c r="C411" s="192" t="s">
        <v>1148</v>
      </c>
      <c r="D411" s="192"/>
      <c r="E411" s="192"/>
      <c r="F411" s="193"/>
      <c r="G411" s="193"/>
      <c r="H411" s="192" t="s">
        <v>1149</v>
      </c>
      <c r="I411" s="192" t="s">
        <v>601</v>
      </c>
      <c r="J411" s="192" t="s">
        <v>602</v>
      </c>
      <c r="K411" s="192" t="s">
        <v>603</v>
      </c>
      <c r="L411" s="192" t="s">
        <v>604</v>
      </c>
      <c r="M411" s="192" t="s">
        <v>605</v>
      </c>
      <c r="N411" s="192"/>
      <c r="O411" s="192"/>
      <c r="P411" s="192"/>
      <c r="Q411" s="192"/>
      <c r="R411" s="192" t="s">
        <v>606</v>
      </c>
    </row>
    <row r="412" spans="1:18" ht="13.15" customHeight="1" x14ac:dyDescent="0.25">
      <c r="A412" s="192" t="s">
        <v>1008</v>
      </c>
      <c r="B412" s="194"/>
      <c r="C412" s="192" t="s">
        <v>1146</v>
      </c>
      <c r="D412" s="192"/>
      <c r="E412" s="192"/>
      <c r="F412" s="193"/>
      <c r="G412" s="193"/>
      <c r="H412" s="192" t="s">
        <v>1147</v>
      </c>
      <c r="I412" s="192" t="s">
        <v>601</v>
      </c>
      <c r="J412" s="192" t="s">
        <v>602</v>
      </c>
      <c r="K412" s="192" t="s">
        <v>603</v>
      </c>
      <c r="L412" s="192" t="s">
        <v>604</v>
      </c>
      <c r="M412" s="192" t="s">
        <v>605</v>
      </c>
      <c r="N412" s="192"/>
      <c r="O412" s="192"/>
      <c r="P412" s="192"/>
      <c r="Q412" s="192"/>
      <c r="R412" s="192" t="s">
        <v>606</v>
      </c>
    </row>
    <row r="413" spans="1:18" ht="13.15" customHeight="1" x14ac:dyDescent="0.25">
      <c r="A413" s="192" t="s">
        <v>1008</v>
      </c>
      <c r="B413" s="194"/>
      <c r="C413" s="192" t="s">
        <v>1144</v>
      </c>
      <c r="D413" s="192"/>
      <c r="E413" s="192"/>
      <c r="F413" s="193"/>
      <c r="G413" s="193"/>
      <c r="H413" s="192" t="s">
        <v>1145</v>
      </c>
      <c r="I413" s="192" t="s">
        <v>601</v>
      </c>
      <c r="J413" s="192" t="s">
        <v>602</v>
      </c>
      <c r="K413" s="192" t="s">
        <v>603</v>
      </c>
      <c r="L413" s="192" t="s">
        <v>604</v>
      </c>
      <c r="M413" s="192" t="s">
        <v>605</v>
      </c>
      <c r="N413" s="192"/>
      <c r="O413" s="192"/>
      <c r="P413" s="192"/>
      <c r="Q413" s="192"/>
      <c r="R413" s="192" t="s">
        <v>606</v>
      </c>
    </row>
    <row r="414" spans="1:18" ht="13.15" customHeight="1" x14ac:dyDescent="0.25">
      <c r="A414" s="192" t="s">
        <v>1008</v>
      </c>
      <c r="B414" s="194"/>
      <c r="C414" s="192" t="s">
        <v>1142</v>
      </c>
      <c r="D414" s="192"/>
      <c r="E414" s="192"/>
      <c r="F414" s="193"/>
      <c r="G414" s="193"/>
      <c r="H414" s="192" t="s">
        <v>1143</v>
      </c>
      <c r="I414" s="192" t="s">
        <v>601</v>
      </c>
      <c r="J414" s="192" t="s">
        <v>602</v>
      </c>
      <c r="K414" s="192" t="s">
        <v>603</v>
      </c>
      <c r="L414" s="192" t="s">
        <v>604</v>
      </c>
      <c r="M414" s="192" t="s">
        <v>605</v>
      </c>
      <c r="N414" s="192"/>
      <c r="O414" s="192"/>
      <c r="P414" s="192"/>
      <c r="Q414" s="192"/>
      <c r="R414" s="192" t="s">
        <v>606</v>
      </c>
    </row>
    <row r="415" spans="1:18" ht="13.15" customHeight="1" x14ac:dyDescent="0.25">
      <c r="A415" s="192" t="s">
        <v>1536</v>
      </c>
      <c r="B415" s="194"/>
      <c r="C415" s="192" t="s">
        <v>1644</v>
      </c>
      <c r="D415" s="192">
        <v>20.399999999999999</v>
      </c>
      <c r="E415" s="192">
        <v>29.07</v>
      </c>
      <c r="F415" s="193"/>
      <c r="G415" s="193"/>
      <c r="H415" s="192" t="s">
        <v>1645</v>
      </c>
      <c r="I415" s="195" t="s">
        <v>1469</v>
      </c>
      <c r="J415" s="192" t="s">
        <v>602</v>
      </c>
      <c r="K415" s="192" t="s">
        <v>603</v>
      </c>
      <c r="L415" s="192" t="s">
        <v>604</v>
      </c>
      <c r="M415" s="192" t="s">
        <v>605</v>
      </c>
      <c r="N415" s="192"/>
      <c r="O415" s="192"/>
      <c r="P415" s="192"/>
      <c r="Q415" s="192"/>
      <c r="R415" s="192" t="s">
        <v>606</v>
      </c>
    </row>
    <row r="416" spans="1:18" ht="13.15" customHeight="1" x14ac:dyDescent="0.25">
      <c r="A416" s="192" t="s">
        <v>1536</v>
      </c>
      <c r="B416" s="192" t="s">
        <v>1642</v>
      </c>
      <c r="C416" s="192" t="s">
        <v>1641</v>
      </c>
      <c r="D416" s="192">
        <v>34.729999999999997</v>
      </c>
      <c r="E416" s="192">
        <v>49.5</v>
      </c>
      <c r="F416" s="193"/>
      <c r="G416" s="193"/>
      <c r="H416" s="192" t="s">
        <v>1643</v>
      </c>
      <c r="I416" s="192" t="s">
        <v>601</v>
      </c>
      <c r="J416" s="192" t="s">
        <v>602</v>
      </c>
      <c r="K416" s="192" t="s">
        <v>603</v>
      </c>
      <c r="L416" s="192" t="s">
        <v>604</v>
      </c>
      <c r="M416" s="192" t="s">
        <v>605</v>
      </c>
      <c r="N416" s="192"/>
      <c r="O416" s="192"/>
      <c r="P416" s="192"/>
      <c r="Q416" s="192"/>
      <c r="R416" s="192" t="s">
        <v>606</v>
      </c>
    </row>
    <row r="417" spans="1:18" ht="13.15" customHeight="1" x14ac:dyDescent="0.25">
      <c r="A417" s="192" t="s">
        <v>1008</v>
      </c>
      <c r="B417" s="194"/>
      <c r="C417" s="192" t="s">
        <v>1136</v>
      </c>
      <c r="D417" s="192"/>
      <c r="E417" s="192"/>
      <c r="F417" s="193"/>
      <c r="G417" s="193"/>
      <c r="H417" s="192" t="s">
        <v>1137</v>
      </c>
      <c r="I417" s="192" t="s">
        <v>601</v>
      </c>
      <c r="J417" s="192" t="s">
        <v>602</v>
      </c>
      <c r="K417" s="192" t="s">
        <v>603</v>
      </c>
      <c r="L417" s="192" t="s">
        <v>604</v>
      </c>
      <c r="M417" s="192" t="s">
        <v>605</v>
      </c>
      <c r="N417" s="192"/>
      <c r="O417" s="192"/>
      <c r="P417" s="192"/>
      <c r="Q417" s="192"/>
      <c r="R417" s="192" t="s">
        <v>606</v>
      </c>
    </row>
    <row r="418" spans="1:18" ht="13.15" customHeight="1" x14ac:dyDescent="0.25">
      <c r="A418" s="192" t="s">
        <v>1536</v>
      </c>
      <c r="B418" s="194"/>
      <c r="C418" s="192" t="s">
        <v>1639</v>
      </c>
      <c r="D418" s="192">
        <v>3834.77</v>
      </c>
      <c r="E418" s="192">
        <v>5465.31</v>
      </c>
      <c r="F418" s="193"/>
      <c r="G418" s="193"/>
      <c r="H418" s="192" t="s">
        <v>1640</v>
      </c>
      <c r="I418" s="195" t="s">
        <v>1469</v>
      </c>
      <c r="J418" s="192" t="s">
        <v>602</v>
      </c>
      <c r="K418" s="192" t="s">
        <v>603</v>
      </c>
      <c r="L418" s="192" t="s">
        <v>604</v>
      </c>
      <c r="M418" s="192" t="s">
        <v>605</v>
      </c>
      <c r="N418" s="192"/>
      <c r="O418" s="192"/>
      <c r="P418" s="192"/>
      <c r="Q418" s="192"/>
      <c r="R418" s="192" t="s">
        <v>847</v>
      </c>
    </row>
    <row r="419" spans="1:18" ht="13.15" customHeight="1" x14ac:dyDescent="0.25">
      <c r="A419" s="192" t="s">
        <v>1008</v>
      </c>
      <c r="B419" s="192" t="s">
        <v>444</v>
      </c>
      <c r="C419" s="192" t="s">
        <v>1134</v>
      </c>
      <c r="D419" s="192">
        <v>3438.07</v>
      </c>
      <c r="E419" s="192">
        <v>4899.9399999999996</v>
      </c>
      <c r="F419" s="193"/>
      <c r="G419" s="193"/>
      <c r="H419" s="192" t="s">
        <v>1135</v>
      </c>
      <c r="I419" s="192" t="s">
        <v>601</v>
      </c>
      <c r="J419" s="192" t="s">
        <v>602</v>
      </c>
      <c r="K419" s="192" t="s">
        <v>603</v>
      </c>
      <c r="L419" s="192" t="s">
        <v>604</v>
      </c>
      <c r="M419" s="192" t="s">
        <v>605</v>
      </c>
      <c r="N419" s="192"/>
      <c r="O419" s="192"/>
      <c r="P419" s="192"/>
      <c r="Q419" s="192"/>
      <c r="R419" s="192" t="s">
        <v>606</v>
      </c>
    </row>
    <row r="420" spans="1:18" ht="13.15" customHeight="1" x14ac:dyDescent="0.25">
      <c r="A420" s="192" t="s">
        <v>1008</v>
      </c>
      <c r="B420" s="192" t="s">
        <v>449</v>
      </c>
      <c r="C420" s="192" t="s">
        <v>1132</v>
      </c>
      <c r="D420" s="192">
        <v>5390.01</v>
      </c>
      <c r="E420" s="192">
        <v>7681.84</v>
      </c>
      <c r="F420" s="193"/>
      <c r="G420" s="193"/>
      <c r="H420" s="192" t="s">
        <v>1133</v>
      </c>
      <c r="I420" s="192" t="s">
        <v>601</v>
      </c>
      <c r="J420" s="192" t="s">
        <v>602</v>
      </c>
      <c r="K420" s="192" t="s">
        <v>603</v>
      </c>
      <c r="L420" s="192" t="s">
        <v>604</v>
      </c>
      <c r="M420" s="192" t="s">
        <v>605</v>
      </c>
      <c r="N420" s="192"/>
      <c r="O420" s="192"/>
      <c r="P420" s="192"/>
      <c r="Q420" s="192"/>
      <c r="R420" s="192" t="s">
        <v>606</v>
      </c>
    </row>
    <row r="421" spans="1:18" ht="13.15" customHeight="1" x14ac:dyDescent="0.25">
      <c r="A421" s="192" t="s">
        <v>1008</v>
      </c>
      <c r="B421" s="192" t="s">
        <v>452</v>
      </c>
      <c r="C421" s="192" t="s">
        <v>1130</v>
      </c>
      <c r="D421" s="192">
        <v>6065.82</v>
      </c>
      <c r="E421" s="192">
        <v>8645.01</v>
      </c>
      <c r="F421" s="193"/>
      <c r="G421" s="193"/>
      <c r="H421" s="192" t="s">
        <v>1131</v>
      </c>
      <c r="I421" s="192" t="s">
        <v>601</v>
      </c>
      <c r="J421" s="192" t="s">
        <v>602</v>
      </c>
      <c r="K421" s="192" t="s">
        <v>603</v>
      </c>
      <c r="L421" s="192" t="s">
        <v>604</v>
      </c>
      <c r="M421" s="192" t="s">
        <v>605</v>
      </c>
      <c r="N421" s="192"/>
      <c r="O421" s="192"/>
      <c r="P421" s="192"/>
      <c r="Q421" s="192"/>
      <c r="R421" s="192" t="s">
        <v>606</v>
      </c>
    </row>
    <row r="422" spans="1:18" ht="13.15" customHeight="1" x14ac:dyDescent="0.25">
      <c r="A422" s="192" t="s">
        <v>1008</v>
      </c>
      <c r="B422" s="192" t="s">
        <v>447</v>
      </c>
      <c r="C422" s="192" t="s">
        <v>1128</v>
      </c>
      <c r="D422" s="192">
        <v>5090.13</v>
      </c>
      <c r="E422" s="192">
        <v>7254.45</v>
      </c>
      <c r="F422" s="193"/>
      <c r="G422" s="193"/>
      <c r="H422" s="192" t="s">
        <v>1129</v>
      </c>
      <c r="I422" s="192" t="s">
        <v>601</v>
      </c>
      <c r="J422" s="192" t="s">
        <v>602</v>
      </c>
      <c r="K422" s="192" t="s">
        <v>603</v>
      </c>
      <c r="L422" s="192" t="s">
        <v>604</v>
      </c>
      <c r="M422" s="192" t="s">
        <v>605</v>
      </c>
      <c r="N422" s="192"/>
      <c r="O422" s="192"/>
      <c r="P422" s="192"/>
      <c r="Q422" s="192"/>
      <c r="R422" s="192" t="s">
        <v>606</v>
      </c>
    </row>
    <row r="423" spans="1:18" ht="13.15" customHeight="1" x14ac:dyDescent="0.25">
      <c r="A423" s="192" t="s">
        <v>1008</v>
      </c>
      <c r="B423" s="192" t="s">
        <v>441</v>
      </c>
      <c r="C423" s="192" t="s">
        <v>1126</v>
      </c>
      <c r="D423" s="192">
        <v>4721.3500000000004</v>
      </c>
      <c r="E423" s="192">
        <v>6728.87</v>
      </c>
      <c r="F423" s="193"/>
      <c r="G423" s="193"/>
      <c r="H423" s="192" t="s">
        <v>1127</v>
      </c>
      <c r="I423" s="192" t="s">
        <v>601</v>
      </c>
      <c r="J423" s="192" t="s">
        <v>602</v>
      </c>
      <c r="K423" s="192" t="s">
        <v>603</v>
      </c>
      <c r="L423" s="192" t="s">
        <v>604</v>
      </c>
      <c r="M423" s="192" t="s">
        <v>605</v>
      </c>
      <c r="N423" s="192"/>
      <c r="O423" s="192"/>
      <c r="P423" s="192"/>
      <c r="Q423" s="192"/>
      <c r="R423" s="192" t="s">
        <v>606</v>
      </c>
    </row>
    <row r="424" spans="1:18" ht="13.15" customHeight="1" x14ac:dyDescent="0.25">
      <c r="A424" s="192" t="s">
        <v>1008</v>
      </c>
      <c r="B424" s="192" t="s">
        <v>431</v>
      </c>
      <c r="C424" s="192" t="s">
        <v>1124</v>
      </c>
      <c r="D424" s="192">
        <v>3946.31</v>
      </c>
      <c r="E424" s="192">
        <v>5624.28</v>
      </c>
      <c r="F424" s="193"/>
      <c r="G424" s="193"/>
      <c r="H424" s="192" t="s">
        <v>1125</v>
      </c>
      <c r="I424" s="192" t="s">
        <v>601</v>
      </c>
      <c r="J424" s="192" t="s">
        <v>602</v>
      </c>
      <c r="K424" s="192" t="s">
        <v>603</v>
      </c>
      <c r="L424" s="192" t="s">
        <v>604</v>
      </c>
      <c r="M424" s="192" t="s">
        <v>605</v>
      </c>
      <c r="N424" s="192"/>
      <c r="O424" s="192"/>
      <c r="P424" s="192"/>
      <c r="Q424" s="192"/>
      <c r="R424" s="192" t="s">
        <v>606</v>
      </c>
    </row>
    <row r="425" spans="1:18" ht="13.15" customHeight="1" x14ac:dyDescent="0.25">
      <c r="A425" s="192" t="s">
        <v>1008</v>
      </c>
      <c r="B425" s="192" t="s">
        <v>433</v>
      </c>
      <c r="C425" s="192" t="s">
        <v>1122</v>
      </c>
      <c r="D425" s="192">
        <v>4173.42</v>
      </c>
      <c r="E425" s="192">
        <v>5947.96</v>
      </c>
      <c r="F425" s="193"/>
      <c r="G425" s="193"/>
      <c r="H425" s="192" t="s">
        <v>1123</v>
      </c>
      <c r="I425" s="192" t="s">
        <v>601</v>
      </c>
      <c r="J425" s="192" t="s">
        <v>602</v>
      </c>
      <c r="K425" s="192" t="s">
        <v>603</v>
      </c>
      <c r="L425" s="192" t="s">
        <v>604</v>
      </c>
      <c r="M425" s="192" t="s">
        <v>605</v>
      </c>
      <c r="N425" s="192"/>
      <c r="O425" s="192"/>
      <c r="P425" s="192"/>
      <c r="Q425" s="192"/>
      <c r="R425" s="192" t="s">
        <v>606</v>
      </c>
    </row>
    <row r="426" spans="1:18" ht="13.15" customHeight="1" x14ac:dyDescent="0.25">
      <c r="A426" s="192" t="s">
        <v>1008</v>
      </c>
      <c r="B426" s="194"/>
      <c r="C426" s="192" t="s">
        <v>1120</v>
      </c>
      <c r="D426" s="192"/>
      <c r="E426" s="192"/>
      <c r="F426" s="193"/>
      <c r="G426" s="193"/>
      <c r="H426" s="192" t="s">
        <v>1121</v>
      </c>
      <c r="I426" s="192" t="s">
        <v>601</v>
      </c>
      <c r="J426" s="192" t="s">
        <v>602</v>
      </c>
      <c r="K426" s="192" t="s">
        <v>603</v>
      </c>
      <c r="L426" s="192" t="s">
        <v>604</v>
      </c>
      <c r="M426" s="192" t="s">
        <v>605</v>
      </c>
      <c r="N426" s="192"/>
      <c r="O426" s="192"/>
      <c r="P426" s="192"/>
      <c r="Q426" s="192"/>
      <c r="R426" s="192" t="s">
        <v>606</v>
      </c>
    </row>
    <row r="427" spans="1:18" ht="13.15" customHeight="1" x14ac:dyDescent="0.25">
      <c r="A427" s="192" t="s">
        <v>1008</v>
      </c>
      <c r="B427" s="192" t="s">
        <v>464</v>
      </c>
      <c r="C427" s="192" t="s">
        <v>1118</v>
      </c>
      <c r="D427" s="192">
        <v>4509.83</v>
      </c>
      <c r="E427" s="192">
        <v>6427.41</v>
      </c>
      <c r="F427" s="193"/>
      <c r="G427" s="193"/>
      <c r="H427" s="192" t="s">
        <v>1119</v>
      </c>
      <c r="I427" s="192" t="s">
        <v>601</v>
      </c>
      <c r="J427" s="192" t="s">
        <v>602</v>
      </c>
      <c r="K427" s="192" t="s">
        <v>603</v>
      </c>
      <c r="L427" s="192" t="s">
        <v>604</v>
      </c>
      <c r="M427" s="192" t="s">
        <v>605</v>
      </c>
      <c r="N427" s="192"/>
      <c r="O427" s="192"/>
      <c r="P427" s="192"/>
      <c r="Q427" s="192"/>
      <c r="R427" s="192" t="s">
        <v>606</v>
      </c>
    </row>
    <row r="428" spans="1:18" ht="13.15" customHeight="1" x14ac:dyDescent="0.25">
      <c r="A428" s="192" t="s">
        <v>1008</v>
      </c>
      <c r="B428" s="192" t="s">
        <v>177</v>
      </c>
      <c r="C428" s="192" t="s">
        <v>1116</v>
      </c>
      <c r="D428" s="192">
        <v>1096.97</v>
      </c>
      <c r="E428" s="192">
        <v>1563.4</v>
      </c>
      <c r="F428" s="193"/>
      <c r="G428" s="193"/>
      <c r="H428" s="192" t="s">
        <v>1117</v>
      </c>
      <c r="I428" s="192" t="s">
        <v>601</v>
      </c>
      <c r="J428" s="192" t="s">
        <v>602</v>
      </c>
      <c r="K428" s="192" t="s">
        <v>603</v>
      </c>
      <c r="L428" s="192" t="s">
        <v>604</v>
      </c>
      <c r="M428" s="192" t="s">
        <v>605</v>
      </c>
      <c r="N428" s="192"/>
      <c r="O428" s="192"/>
      <c r="P428" s="192" t="s">
        <v>704</v>
      </c>
      <c r="Q428" s="192" t="s">
        <v>1016</v>
      </c>
      <c r="R428" s="192" t="s">
        <v>606</v>
      </c>
    </row>
    <row r="429" spans="1:18" ht="13.15" customHeight="1" x14ac:dyDescent="0.25">
      <c r="A429" s="192" t="s">
        <v>1536</v>
      </c>
      <c r="B429" s="194"/>
      <c r="C429" s="192" t="s">
        <v>1637</v>
      </c>
      <c r="D429" s="192"/>
      <c r="E429" s="192"/>
      <c r="F429" s="193"/>
      <c r="G429" s="193"/>
      <c r="H429" s="192" t="s">
        <v>1638</v>
      </c>
      <c r="I429" s="192" t="s">
        <v>601</v>
      </c>
      <c r="J429" s="192" t="s">
        <v>602</v>
      </c>
      <c r="K429" s="192" t="s">
        <v>603</v>
      </c>
      <c r="L429" s="192" t="s">
        <v>604</v>
      </c>
      <c r="M429" s="192" t="s">
        <v>605</v>
      </c>
      <c r="N429" s="192"/>
      <c r="O429" s="192"/>
      <c r="P429" s="192"/>
      <c r="Q429" s="192"/>
      <c r="R429" s="192" t="s">
        <v>606</v>
      </c>
    </row>
    <row r="430" spans="1:18" ht="13.15" customHeight="1" x14ac:dyDescent="0.25">
      <c r="A430" s="192" t="s">
        <v>1536</v>
      </c>
      <c r="B430" s="194"/>
      <c r="C430" s="192" t="s">
        <v>1635</v>
      </c>
      <c r="D430" s="192"/>
      <c r="E430" s="192"/>
      <c r="F430" s="193"/>
      <c r="G430" s="193"/>
      <c r="H430" s="192" t="s">
        <v>1636</v>
      </c>
      <c r="I430" s="192" t="s">
        <v>601</v>
      </c>
      <c r="J430" s="192" t="s">
        <v>602</v>
      </c>
      <c r="K430" s="192" t="s">
        <v>603</v>
      </c>
      <c r="L430" s="192" t="s">
        <v>604</v>
      </c>
      <c r="M430" s="192" t="s">
        <v>605</v>
      </c>
      <c r="N430" s="192"/>
      <c r="O430" s="192"/>
      <c r="P430" s="192"/>
      <c r="Q430" s="192"/>
      <c r="R430" s="192" t="s">
        <v>606</v>
      </c>
    </row>
    <row r="431" spans="1:18" ht="13.15" customHeight="1" x14ac:dyDescent="0.25">
      <c r="A431" s="192" t="s">
        <v>1536</v>
      </c>
      <c r="B431" s="194"/>
      <c r="C431" s="192" t="s">
        <v>1633</v>
      </c>
      <c r="D431" s="192"/>
      <c r="E431" s="192"/>
      <c r="F431" s="193"/>
      <c r="G431" s="193"/>
      <c r="H431" s="192" t="s">
        <v>1634</v>
      </c>
      <c r="I431" s="192" t="s">
        <v>601</v>
      </c>
      <c r="J431" s="192" t="s">
        <v>602</v>
      </c>
      <c r="K431" s="192" t="s">
        <v>603</v>
      </c>
      <c r="L431" s="192" t="s">
        <v>604</v>
      </c>
      <c r="M431" s="192" t="s">
        <v>605</v>
      </c>
      <c r="N431" s="192"/>
      <c r="O431" s="192"/>
      <c r="P431" s="192"/>
      <c r="Q431" s="192"/>
      <c r="R431" s="192" t="s">
        <v>606</v>
      </c>
    </row>
    <row r="432" spans="1:18" ht="13.15" customHeight="1" x14ac:dyDescent="0.25">
      <c r="A432" s="192" t="s">
        <v>1008</v>
      </c>
      <c r="B432" s="194"/>
      <c r="C432" s="192" t="s">
        <v>1114</v>
      </c>
      <c r="D432" s="192"/>
      <c r="E432" s="192"/>
      <c r="F432" s="193"/>
      <c r="G432" s="193"/>
      <c r="H432" s="192" t="s">
        <v>1115</v>
      </c>
      <c r="I432" s="195" t="s">
        <v>622</v>
      </c>
      <c r="J432" s="192" t="s">
        <v>602</v>
      </c>
      <c r="K432" s="192" t="s">
        <v>603</v>
      </c>
      <c r="L432" s="192" t="s">
        <v>604</v>
      </c>
      <c r="M432" s="192" t="s">
        <v>605</v>
      </c>
      <c r="N432" s="192"/>
      <c r="O432" s="192"/>
      <c r="P432" s="192"/>
      <c r="Q432" s="192"/>
      <c r="R432" s="192" t="s">
        <v>606</v>
      </c>
    </row>
    <row r="433" spans="1:18" ht="13.15" customHeight="1" x14ac:dyDescent="0.25">
      <c r="A433" s="192" t="s">
        <v>1536</v>
      </c>
      <c r="B433" s="192" t="s">
        <v>297</v>
      </c>
      <c r="C433" s="192" t="s">
        <v>1631</v>
      </c>
      <c r="D433" s="192">
        <v>36.39</v>
      </c>
      <c r="E433" s="192">
        <v>51.86</v>
      </c>
      <c r="F433" s="193"/>
      <c r="G433" s="193"/>
      <c r="H433" s="192" t="s">
        <v>1632</v>
      </c>
      <c r="I433" s="192" t="s">
        <v>601</v>
      </c>
      <c r="J433" s="192" t="s">
        <v>602</v>
      </c>
      <c r="K433" s="192" t="s">
        <v>603</v>
      </c>
      <c r="L433" s="192" t="s">
        <v>604</v>
      </c>
      <c r="M433" s="192" t="s">
        <v>605</v>
      </c>
      <c r="N433" s="192"/>
      <c r="O433" s="192"/>
      <c r="P433" s="192" t="s">
        <v>704</v>
      </c>
      <c r="Q433" s="192" t="s">
        <v>1013</v>
      </c>
      <c r="R433" s="192" t="s">
        <v>606</v>
      </c>
    </row>
    <row r="434" spans="1:18" ht="13.15" customHeight="1" x14ac:dyDescent="0.25">
      <c r="A434" s="192" t="s">
        <v>1536</v>
      </c>
      <c r="B434" s="192" t="s">
        <v>1629</v>
      </c>
      <c r="C434" s="192" t="s">
        <v>1628</v>
      </c>
      <c r="D434" s="192"/>
      <c r="E434" s="192"/>
      <c r="F434" s="193"/>
      <c r="G434" s="193"/>
      <c r="H434" s="192" t="s">
        <v>1630</v>
      </c>
      <c r="I434" s="192" t="s">
        <v>601</v>
      </c>
      <c r="J434" s="192" t="s">
        <v>602</v>
      </c>
      <c r="K434" s="192" t="s">
        <v>603</v>
      </c>
      <c r="L434" s="192" t="s">
        <v>604</v>
      </c>
      <c r="M434" s="192" t="s">
        <v>605</v>
      </c>
      <c r="N434" s="192"/>
      <c r="O434" s="192"/>
      <c r="P434" s="192"/>
      <c r="Q434" s="192"/>
      <c r="R434" s="192" t="s">
        <v>606</v>
      </c>
    </row>
    <row r="435" spans="1:18" ht="13.15" customHeight="1" x14ac:dyDescent="0.25">
      <c r="A435" s="192" t="s">
        <v>1536</v>
      </c>
      <c r="B435" s="192" t="s">
        <v>1626</v>
      </c>
      <c r="C435" s="192" t="s">
        <v>1625</v>
      </c>
      <c r="D435" s="192"/>
      <c r="E435" s="192"/>
      <c r="F435" s="193"/>
      <c r="G435" s="193"/>
      <c r="H435" s="192" t="s">
        <v>1627</v>
      </c>
      <c r="I435" s="192" t="s">
        <v>601</v>
      </c>
      <c r="J435" s="192" t="s">
        <v>602</v>
      </c>
      <c r="K435" s="192" t="s">
        <v>603</v>
      </c>
      <c r="L435" s="192" t="s">
        <v>604</v>
      </c>
      <c r="M435" s="192" t="s">
        <v>605</v>
      </c>
      <c r="N435" s="192"/>
      <c r="O435" s="192"/>
      <c r="P435" s="192"/>
      <c r="Q435" s="192"/>
      <c r="R435" s="192" t="s">
        <v>606</v>
      </c>
    </row>
    <row r="436" spans="1:18" ht="13.15" customHeight="1" x14ac:dyDescent="0.25">
      <c r="A436" s="192" t="s">
        <v>1536</v>
      </c>
      <c r="B436" s="192" t="s">
        <v>299</v>
      </c>
      <c r="C436" s="192" t="s">
        <v>1623</v>
      </c>
      <c r="D436" s="192">
        <v>605.26</v>
      </c>
      <c r="E436" s="192">
        <v>862.62</v>
      </c>
      <c r="F436" s="193"/>
      <c r="G436" s="193"/>
      <c r="H436" s="192" t="s">
        <v>1624</v>
      </c>
      <c r="I436" s="192" t="s">
        <v>601</v>
      </c>
      <c r="J436" s="192" t="s">
        <v>602</v>
      </c>
      <c r="K436" s="192" t="s">
        <v>603</v>
      </c>
      <c r="L436" s="192" t="s">
        <v>604</v>
      </c>
      <c r="M436" s="192" t="s">
        <v>605</v>
      </c>
      <c r="N436" s="192"/>
      <c r="O436" s="192"/>
      <c r="P436" s="192" t="s">
        <v>704</v>
      </c>
      <c r="Q436" s="192" t="s">
        <v>1013</v>
      </c>
      <c r="R436" s="192" t="s">
        <v>606</v>
      </c>
    </row>
    <row r="437" spans="1:18" ht="13.15" customHeight="1" x14ac:dyDescent="0.25">
      <c r="A437" s="192" t="s">
        <v>1008</v>
      </c>
      <c r="B437" s="192" t="s">
        <v>1112</v>
      </c>
      <c r="C437" s="192" t="s">
        <v>1111</v>
      </c>
      <c r="D437" s="192"/>
      <c r="E437" s="192"/>
      <c r="F437" s="193"/>
      <c r="G437" s="193"/>
      <c r="H437" s="192" t="s">
        <v>1113</v>
      </c>
      <c r="I437" s="192" t="s">
        <v>601</v>
      </c>
      <c r="J437" s="192" t="s">
        <v>602</v>
      </c>
      <c r="K437" s="192" t="s">
        <v>603</v>
      </c>
      <c r="L437" s="192" t="s">
        <v>604</v>
      </c>
      <c r="M437" s="192" t="s">
        <v>605</v>
      </c>
      <c r="N437" s="192"/>
      <c r="O437" s="192"/>
      <c r="P437" s="192"/>
      <c r="Q437" s="192"/>
      <c r="R437" s="192" t="s">
        <v>606</v>
      </c>
    </row>
    <row r="438" spans="1:18" ht="13.15" customHeight="1" x14ac:dyDescent="0.25">
      <c r="A438" s="192" t="s">
        <v>1249</v>
      </c>
      <c r="B438" s="192" t="s">
        <v>1274</v>
      </c>
      <c r="C438" s="192" t="s">
        <v>1273</v>
      </c>
      <c r="D438" s="192"/>
      <c r="E438" s="192"/>
      <c r="F438" s="193"/>
      <c r="G438" s="193"/>
      <c r="H438" s="192" t="s">
        <v>1275</v>
      </c>
      <c r="I438" s="192" t="s">
        <v>601</v>
      </c>
      <c r="J438" s="192" t="s">
        <v>602</v>
      </c>
      <c r="K438" s="192" t="s">
        <v>603</v>
      </c>
      <c r="L438" s="192" t="s">
        <v>604</v>
      </c>
      <c r="M438" s="192" t="s">
        <v>605</v>
      </c>
      <c r="N438" s="192"/>
      <c r="O438" s="192"/>
      <c r="P438" s="192"/>
      <c r="Q438" s="192"/>
      <c r="R438" s="192" t="s">
        <v>606</v>
      </c>
    </row>
    <row r="439" spans="1:18" ht="13.15" customHeight="1" x14ac:dyDescent="0.25">
      <c r="A439" s="192" t="s">
        <v>1008</v>
      </c>
      <c r="B439" s="192" t="s">
        <v>1109</v>
      </c>
      <c r="C439" s="192" t="s">
        <v>1108</v>
      </c>
      <c r="D439" s="192"/>
      <c r="E439" s="192"/>
      <c r="F439" s="193"/>
      <c r="G439" s="193"/>
      <c r="H439" s="192" t="s">
        <v>1110</v>
      </c>
      <c r="I439" s="192" t="s">
        <v>601</v>
      </c>
      <c r="J439" s="192" t="s">
        <v>602</v>
      </c>
      <c r="K439" s="192" t="s">
        <v>603</v>
      </c>
      <c r="L439" s="192" t="s">
        <v>604</v>
      </c>
      <c r="M439" s="192" t="s">
        <v>605</v>
      </c>
      <c r="N439" s="192"/>
      <c r="O439" s="192"/>
      <c r="P439" s="192"/>
      <c r="Q439" s="192"/>
      <c r="R439" s="192" t="s">
        <v>606</v>
      </c>
    </row>
    <row r="440" spans="1:18" ht="13.15" customHeight="1" x14ac:dyDescent="0.25">
      <c r="A440" s="192" t="s">
        <v>1536</v>
      </c>
      <c r="B440" s="192" t="s">
        <v>1621</v>
      </c>
      <c r="C440" s="192" t="s">
        <v>1620</v>
      </c>
      <c r="D440" s="192"/>
      <c r="E440" s="192"/>
      <c r="F440" s="193"/>
      <c r="G440" s="193"/>
      <c r="H440" s="192" t="s">
        <v>1622</v>
      </c>
      <c r="I440" s="192" t="s">
        <v>601</v>
      </c>
      <c r="J440" s="192" t="s">
        <v>602</v>
      </c>
      <c r="K440" s="192" t="s">
        <v>603</v>
      </c>
      <c r="L440" s="192" t="s">
        <v>604</v>
      </c>
      <c r="M440" s="192" t="s">
        <v>605</v>
      </c>
      <c r="N440" s="192"/>
      <c r="O440" s="192"/>
      <c r="P440" s="192"/>
      <c r="Q440" s="192"/>
      <c r="R440" s="192" t="s">
        <v>847</v>
      </c>
    </row>
    <row r="441" spans="1:18" ht="13.15" customHeight="1" x14ac:dyDescent="0.25">
      <c r="A441" s="192" t="s">
        <v>1536</v>
      </c>
      <c r="B441" s="194"/>
      <c r="C441" s="192" t="s">
        <v>1618</v>
      </c>
      <c r="D441" s="192"/>
      <c r="E441" s="192"/>
      <c r="F441" s="193"/>
      <c r="G441" s="193"/>
      <c r="H441" s="192" t="s">
        <v>1619</v>
      </c>
      <c r="I441" s="192" t="s">
        <v>601</v>
      </c>
      <c r="J441" s="192" t="s">
        <v>602</v>
      </c>
      <c r="K441" s="192" t="s">
        <v>603</v>
      </c>
      <c r="L441" s="192" t="s">
        <v>604</v>
      </c>
      <c r="M441" s="192" t="s">
        <v>605</v>
      </c>
      <c r="N441" s="192"/>
      <c r="O441" s="192"/>
      <c r="P441" s="192"/>
      <c r="Q441" s="192"/>
      <c r="R441" s="192" t="s">
        <v>606</v>
      </c>
    </row>
    <row r="442" spans="1:18" ht="13.15" customHeight="1" x14ac:dyDescent="0.25">
      <c r="A442" s="192" t="s">
        <v>1008</v>
      </c>
      <c r="B442" s="192" t="s">
        <v>167</v>
      </c>
      <c r="C442" s="192" t="s">
        <v>1106</v>
      </c>
      <c r="D442" s="192">
        <v>1205.01</v>
      </c>
      <c r="E442" s="192">
        <v>1717.38</v>
      </c>
      <c r="F442" s="193"/>
      <c r="G442" s="193"/>
      <c r="H442" s="192" t="s">
        <v>1107</v>
      </c>
      <c r="I442" s="192" t="s">
        <v>601</v>
      </c>
      <c r="J442" s="192" t="s">
        <v>602</v>
      </c>
      <c r="K442" s="192" t="s">
        <v>603</v>
      </c>
      <c r="L442" s="192" t="s">
        <v>604</v>
      </c>
      <c r="M442" s="192" t="s">
        <v>605</v>
      </c>
      <c r="N442" s="192"/>
      <c r="O442" s="192"/>
      <c r="P442" s="192" t="s">
        <v>704</v>
      </c>
      <c r="Q442" s="192" t="s">
        <v>1016</v>
      </c>
      <c r="R442" s="192" t="s">
        <v>606</v>
      </c>
    </row>
    <row r="443" spans="1:18" ht="13.15" customHeight="1" x14ac:dyDescent="0.25">
      <c r="A443" s="192" t="s">
        <v>1536</v>
      </c>
      <c r="B443" s="194"/>
      <c r="C443" s="192" t="s">
        <v>1616</v>
      </c>
      <c r="D443" s="192"/>
      <c r="E443" s="192"/>
      <c r="F443" s="193"/>
      <c r="G443" s="193"/>
      <c r="H443" s="192" t="s">
        <v>1617</v>
      </c>
      <c r="I443" s="192" t="s">
        <v>601</v>
      </c>
      <c r="J443" s="192" t="s">
        <v>602</v>
      </c>
      <c r="K443" s="192" t="s">
        <v>603</v>
      </c>
      <c r="L443" s="192" t="s">
        <v>604</v>
      </c>
      <c r="M443" s="192" t="s">
        <v>605</v>
      </c>
      <c r="N443" s="192"/>
      <c r="O443" s="192"/>
      <c r="P443" s="192"/>
      <c r="Q443" s="192"/>
      <c r="R443" s="192" t="s">
        <v>606</v>
      </c>
    </row>
    <row r="444" spans="1:18" ht="13.15" customHeight="1" x14ac:dyDescent="0.25">
      <c r="A444" s="192" t="s">
        <v>1008</v>
      </c>
      <c r="B444" s="192" t="s">
        <v>191</v>
      </c>
      <c r="C444" s="192" t="s">
        <v>1104</v>
      </c>
      <c r="D444" s="192">
        <v>2897.86</v>
      </c>
      <c r="E444" s="192">
        <v>4130.03</v>
      </c>
      <c r="F444" s="193"/>
      <c r="G444" s="193"/>
      <c r="H444" s="192" t="s">
        <v>1105</v>
      </c>
      <c r="I444" s="192" t="s">
        <v>601</v>
      </c>
      <c r="J444" s="192" t="s">
        <v>602</v>
      </c>
      <c r="K444" s="192" t="s">
        <v>603</v>
      </c>
      <c r="L444" s="192" t="s">
        <v>604</v>
      </c>
      <c r="M444" s="192" t="s">
        <v>605</v>
      </c>
      <c r="N444" s="192"/>
      <c r="O444" s="192"/>
      <c r="P444" s="192" t="s">
        <v>704</v>
      </c>
      <c r="Q444" s="192" t="s">
        <v>1093</v>
      </c>
      <c r="R444" s="192" t="s">
        <v>606</v>
      </c>
    </row>
    <row r="445" spans="1:18" ht="13.15" customHeight="1" x14ac:dyDescent="0.25">
      <c r="A445" s="192" t="s">
        <v>1008</v>
      </c>
      <c r="B445" s="192" t="s">
        <v>398</v>
      </c>
      <c r="C445" s="192" t="s">
        <v>1102</v>
      </c>
      <c r="D445" s="192">
        <v>2464.58</v>
      </c>
      <c r="E445" s="192">
        <v>3512.52</v>
      </c>
      <c r="F445" s="193"/>
      <c r="G445" s="193"/>
      <c r="H445" s="192" t="s">
        <v>1103</v>
      </c>
      <c r="I445" s="192" t="s">
        <v>601</v>
      </c>
      <c r="J445" s="192" t="s">
        <v>602</v>
      </c>
      <c r="K445" s="192" t="s">
        <v>603</v>
      </c>
      <c r="L445" s="192" t="s">
        <v>604</v>
      </c>
      <c r="M445" s="192" t="s">
        <v>605</v>
      </c>
      <c r="N445" s="192"/>
      <c r="O445" s="192"/>
      <c r="P445" s="192"/>
      <c r="Q445" s="192"/>
      <c r="R445" s="192" t="s">
        <v>606</v>
      </c>
    </row>
    <row r="446" spans="1:18" ht="13.15" customHeight="1" x14ac:dyDescent="0.25">
      <c r="A446" s="192" t="s">
        <v>1008</v>
      </c>
      <c r="B446" s="192" t="s">
        <v>397</v>
      </c>
      <c r="C446" s="192" t="s">
        <v>1100</v>
      </c>
      <c r="D446" s="192">
        <v>3355.38</v>
      </c>
      <c r="E446" s="192">
        <v>4782.09</v>
      </c>
      <c r="F446" s="193"/>
      <c r="G446" s="193"/>
      <c r="H446" s="192" t="s">
        <v>1101</v>
      </c>
      <c r="I446" s="192" t="s">
        <v>601</v>
      </c>
      <c r="J446" s="192" t="s">
        <v>602</v>
      </c>
      <c r="K446" s="192" t="s">
        <v>603</v>
      </c>
      <c r="L446" s="192" t="s">
        <v>604</v>
      </c>
      <c r="M446" s="192" t="s">
        <v>605</v>
      </c>
      <c r="N446" s="192"/>
      <c r="O446" s="192"/>
      <c r="P446" s="192"/>
      <c r="Q446" s="192"/>
      <c r="R446" s="192" t="s">
        <v>606</v>
      </c>
    </row>
    <row r="447" spans="1:18" ht="13.15" customHeight="1" x14ac:dyDescent="0.25">
      <c r="A447" s="192" t="s">
        <v>1008</v>
      </c>
      <c r="B447" s="192" t="s">
        <v>189</v>
      </c>
      <c r="C447" s="192" t="s">
        <v>1098</v>
      </c>
      <c r="D447" s="192">
        <v>2050.6</v>
      </c>
      <c r="E447" s="192">
        <v>2922.52</v>
      </c>
      <c r="F447" s="193"/>
      <c r="G447" s="193"/>
      <c r="H447" s="192" t="s">
        <v>1099</v>
      </c>
      <c r="I447" s="192" t="s">
        <v>601</v>
      </c>
      <c r="J447" s="192" t="s">
        <v>602</v>
      </c>
      <c r="K447" s="192" t="s">
        <v>603</v>
      </c>
      <c r="L447" s="192" t="s">
        <v>604</v>
      </c>
      <c r="M447" s="192" t="s">
        <v>605</v>
      </c>
      <c r="N447" s="192"/>
      <c r="O447" s="192"/>
      <c r="P447" s="192" t="s">
        <v>704</v>
      </c>
      <c r="Q447" s="192" t="s">
        <v>1093</v>
      </c>
      <c r="R447" s="192" t="s">
        <v>606</v>
      </c>
    </row>
    <row r="448" spans="1:18" ht="13.15" customHeight="1" x14ac:dyDescent="0.25">
      <c r="A448" s="192" t="s">
        <v>1008</v>
      </c>
      <c r="B448" s="192" t="s">
        <v>396</v>
      </c>
      <c r="C448" s="192" t="s">
        <v>1096</v>
      </c>
      <c r="D448" s="192">
        <v>2805.25</v>
      </c>
      <c r="E448" s="192">
        <v>3998.04</v>
      </c>
      <c r="F448" s="193"/>
      <c r="G448" s="193"/>
      <c r="H448" s="192" t="s">
        <v>1097</v>
      </c>
      <c r="I448" s="192" t="s">
        <v>601</v>
      </c>
      <c r="J448" s="192" t="s">
        <v>602</v>
      </c>
      <c r="K448" s="192" t="s">
        <v>603</v>
      </c>
      <c r="L448" s="192" t="s">
        <v>604</v>
      </c>
      <c r="M448" s="192" t="s">
        <v>605</v>
      </c>
      <c r="N448" s="192"/>
      <c r="O448" s="192"/>
      <c r="P448" s="192"/>
      <c r="Q448" s="192"/>
      <c r="R448" s="192" t="s">
        <v>606</v>
      </c>
    </row>
    <row r="449" spans="1:18" ht="13.15" customHeight="1" x14ac:dyDescent="0.25">
      <c r="A449" s="192" t="s">
        <v>1008</v>
      </c>
      <c r="B449" s="192" t="s">
        <v>394</v>
      </c>
      <c r="C449" s="192" t="s">
        <v>1094</v>
      </c>
      <c r="D449" s="192">
        <v>1905.63</v>
      </c>
      <c r="E449" s="192">
        <v>2715.9</v>
      </c>
      <c r="F449" s="193"/>
      <c r="G449" s="193"/>
      <c r="H449" s="192" t="s">
        <v>1095</v>
      </c>
      <c r="I449" s="192" t="s">
        <v>601</v>
      </c>
      <c r="J449" s="192" t="s">
        <v>602</v>
      </c>
      <c r="K449" s="192" t="s">
        <v>603</v>
      </c>
      <c r="L449" s="192" t="s">
        <v>604</v>
      </c>
      <c r="M449" s="192" t="s">
        <v>605</v>
      </c>
      <c r="N449" s="192"/>
      <c r="O449" s="192"/>
      <c r="P449" s="192"/>
      <c r="Q449" s="192"/>
      <c r="R449" s="192" t="s">
        <v>606</v>
      </c>
    </row>
    <row r="450" spans="1:18" ht="13.15" customHeight="1" x14ac:dyDescent="0.25">
      <c r="A450" s="192" t="s">
        <v>1008</v>
      </c>
      <c r="B450" s="192" t="s">
        <v>193</v>
      </c>
      <c r="C450" s="192" t="s">
        <v>1091</v>
      </c>
      <c r="D450" s="192">
        <v>3590.77</v>
      </c>
      <c r="E450" s="192">
        <v>5117.57</v>
      </c>
      <c r="F450" s="193"/>
      <c r="G450" s="193"/>
      <c r="H450" s="192" t="s">
        <v>1092</v>
      </c>
      <c r="I450" s="192" t="s">
        <v>601</v>
      </c>
      <c r="J450" s="192" t="s">
        <v>602</v>
      </c>
      <c r="K450" s="192" t="s">
        <v>603</v>
      </c>
      <c r="L450" s="192" t="s">
        <v>604</v>
      </c>
      <c r="M450" s="192" t="s">
        <v>605</v>
      </c>
      <c r="N450" s="192"/>
      <c r="O450" s="192"/>
      <c r="P450" s="192" t="s">
        <v>704</v>
      </c>
      <c r="Q450" s="192" t="s">
        <v>1093</v>
      </c>
      <c r="R450" s="192" t="s">
        <v>606</v>
      </c>
    </row>
    <row r="451" spans="1:18" ht="13.15" customHeight="1" x14ac:dyDescent="0.25">
      <c r="A451" s="192" t="s">
        <v>1008</v>
      </c>
      <c r="B451" s="192" t="s">
        <v>158</v>
      </c>
      <c r="C451" s="192" t="s">
        <v>1089</v>
      </c>
      <c r="D451" s="192">
        <v>5070.8599999999997</v>
      </c>
      <c r="E451" s="192">
        <v>7226.99</v>
      </c>
      <c r="F451" s="193"/>
      <c r="G451" s="193"/>
      <c r="H451" s="192" t="s">
        <v>1090</v>
      </c>
      <c r="I451" s="192" t="s">
        <v>601</v>
      </c>
      <c r="J451" s="192" t="s">
        <v>602</v>
      </c>
      <c r="K451" s="192" t="s">
        <v>603</v>
      </c>
      <c r="L451" s="192" t="s">
        <v>604</v>
      </c>
      <c r="M451" s="192" t="s">
        <v>605</v>
      </c>
      <c r="N451" s="192"/>
      <c r="O451" s="192"/>
      <c r="P451" s="192"/>
      <c r="Q451" s="192"/>
      <c r="R451" s="192" t="s">
        <v>606</v>
      </c>
    </row>
    <row r="452" spans="1:18" ht="13.15" customHeight="1" x14ac:dyDescent="0.25">
      <c r="A452" s="192" t="s">
        <v>1008</v>
      </c>
      <c r="B452" s="192" t="s">
        <v>156</v>
      </c>
      <c r="C452" s="192" t="s">
        <v>1086</v>
      </c>
      <c r="D452" s="192">
        <v>7609.28</v>
      </c>
      <c r="E452" s="192">
        <v>10844.75</v>
      </c>
      <c r="F452" s="193"/>
      <c r="G452" s="193"/>
      <c r="H452" s="192" t="s">
        <v>1087</v>
      </c>
      <c r="I452" s="192" t="s">
        <v>601</v>
      </c>
      <c r="J452" s="192" t="s">
        <v>602</v>
      </c>
      <c r="K452" s="192" t="s">
        <v>603</v>
      </c>
      <c r="L452" s="192" t="s">
        <v>604</v>
      </c>
      <c r="M452" s="192" t="s">
        <v>605</v>
      </c>
      <c r="N452" s="192"/>
      <c r="O452" s="192"/>
      <c r="P452" s="192" t="s">
        <v>704</v>
      </c>
      <c r="Q452" s="192" t="s">
        <v>1088</v>
      </c>
      <c r="R452" s="192" t="s">
        <v>606</v>
      </c>
    </row>
    <row r="453" spans="1:18" ht="13.15" customHeight="1" x14ac:dyDescent="0.25">
      <c r="A453" s="192" t="s">
        <v>1008</v>
      </c>
      <c r="B453" s="194"/>
      <c r="C453" s="192" t="s">
        <v>1084</v>
      </c>
      <c r="D453" s="192"/>
      <c r="E453" s="192"/>
      <c r="F453" s="193"/>
      <c r="G453" s="193"/>
      <c r="H453" s="192" t="s">
        <v>1085</v>
      </c>
      <c r="I453" s="192" t="s">
        <v>601</v>
      </c>
      <c r="J453" s="192" t="s">
        <v>602</v>
      </c>
      <c r="K453" s="192" t="s">
        <v>603</v>
      </c>
      <c r="L453" s="192" t="s">
        <v>604</v>
      </c>
      <c r="M453" s="192" t="s">
        <v>605</v>
      </c>
      <c r="N453" s="192"/>
      <c r="O453" s="192"/>
      <c r="P453" s="192"/>
      <c r="Q453" s="192"/>
      <c r="R453" s="192" t="s">
        <v>606</v>
      </c>
    </row>
    <row r="454" spans="1:18" ht="13.15" customHeight="1" x14ac:dyDescent="0.25">
      <c r="A454" s="192" t="s">
        <v>1249</v>
      </c>
      <c r="B454" s="192" t="s">
        <v>1271</v>
      </c>
      <c r="C454" s="192" t="s">
        <v>1270</v>
      </c>
      <c r="D454" s="192">
        <v>15483.16</v>
      </c>
      <c r="E454" s="192">
        <v>22066.6</v>
      </c>
      <c r="F454" s="193"/>
      <c r="G454" s="193"/>
      <c r="H454" s="192" t="s">
        <v>1272</v>
      </c>
      <c r="I454" s="192" t="s">
        <v>601</v>
      </c>
      <c r="J454" s="192" t="s">
        <v>602</v>
      </c>
      <c r="K454" s="192" t="s">
        <v>603</v>
      </c>
      <c r="L454" s="192" t="s">
        <v>604</v>
      </c>
      <c r="M454" s="192" t="s">
        <v>605</v>
      </c>
      <c r="N454" s="192"/>
      <c r="O454" s="192"/>
      <c r="P454" s="192"/>
      <c r="Q454" s="192"/>
      <c r="R454" s="192" t="s">
        <v>606</v>
      </c>
    </row>
    <row r="455" spans="1:18" ht="13.15" customHeight="1" x14ac:dyDescent="0.25">
      <c r="A455" s="192" t="s">
        <v>1249</v>
      </c>
      <c r="B455" s="192" t="s">
        <v>1268</v>
      </c>
      <c r="C455" s="192" t="s">
        <v>1267</v>
      </c>
      <c r="D455" s="192">
        <v>14123.81</v>
      </c>
      <c r="E455" s="192">
        <v>20129.25</v>
      </c>
      <c r="F455" s="193"/>
      <c r="G455" s="193"/>
      <c r="H455" s="192" t="s">
        <v>1269</v>
      </c>
      <c r="I455" s="192" t="s">
        <v>601</v>
      </c>
      <c r="J455" s="192" t="s">
        <v>602</v>
      </c>
      <c r="K455" s="192" t="s">
        <v>603</v>
      </c>
      <c r="L455" s="192" t="s">
        <v>604</v>
      </c>
      <c r="M455" s="192" t="s">
        <v>605</v>
      </c>
      <c r="N455" s="192"/>
      <c r="O455" s="192"/>
      <c r="P455" s="192"/>
      <c r="Q455" s="192"/>
      <c r="R455" s="192" t="s">
        <v>606</v>
      </c>
    </row>
    <row r="456" spans="1:18" ht="13.15" customHeight="1" x14ac:dyDescent="0.25">
      <c r="A456" s="192" t="s">
        <v>1249</v>
      </c>
      <c r="B456" s="192" t="s">
        <v>1265</v>
      </c>
      <c r="C456" s="192" t="s">
        <v>1264</v>
      </c>
      <c r="D456" s="192">
        <v>14643.07</v>
      </c>
      <c r="E456" s="192">
        <v>20869.3</v>
      </c>
      <c r="F456" s="193"/>
      <c r="G456" s="193"/>
      <c r="H456" s="192" t="s">
        <v>1266</v>
      </c>
      <c r="I456" s="192" t="s">
        <v>601</v>
      </c>
      <c r="J456" s="192" t="s">
        <v>602</v>
      </c>
      <c r="K456" s="192" t="s">
        <v>603</v>
      </c>
      <c r="L456" s="192" t="s">
        <v>604</v>
      </c>
      <c r="M456" s="192" t="s">
        <v>605</v>
      </c>
      <c r="N456" s="192"/>
      <c r="O456" s="192"/>
      <c r="P456" s="192"/>
      <c r="Q456" s="192"/>
      <c r="R456" s="192" t="s">
        <v>606</v>
      </c>
    </row>
    <row r="457" spans="1:18" ht="13.15" customHeight="1" x14ac:dyDescent="0.25">
      <c r="A457" s="192" t="s">
        <v>1249</v>
      </c>
      <c r="B457" s="192" t="s">
        <v>1262</v>
      </c>
      <c r="C457" s="192" t="s">
        <v>1261</v>
      </c>
      <c r="D457" s="192">
        <v>35371.25</v>
      </c>
      <c r="E457" s="192">
        <v>50411.11</v>
      </c>
      <c r="F457" s="193"/>
      <c r="G457" s="193"/>
      <c r="H457" s="192" t="s">
        <v>1263</v>
      </c>
      <c r="I457" s="192" t="s">
        <v>601</v>
      </c>
      <c r="J457" s="192" t="s">
        <v>602</v>
      </c>
      <c r="K457" s="192" t="s">
        <v>603</v>
      </c>
      <c r="L457" s="192" t="s">
        <v>604</v>
      </c>
      <c r="M457" s="192" t="s">
        <v>605</v>
      </c>
      <c r="N457" s="192"/>
      <c r="O457" s="192"/>
      <c r="P457" s="192"/>
      <c r="Q457" s="192"/>
      <c r="R457" s="192" t="s">
        <v>606</v>
      </c>
    </row>
    <row r="458" spans="1:18" ht="13.15" customHeight="1" x14ac:dyDescent="0.25">
      <c r="A458" s="192" t="s">
        <v>1249</v>
      </c>
      <c r="B458" s="192" t="s">
        <v>1259</v>
      </c>
      <c r="C458" s="192" t="s">
        <v>1258</v>
      </c>
      <c r="D458" s="192">
        <v>8968.64</v>
      </c>
      <c r="E458" s="192">
        <v>12782.11</v>
      </c>
      <c r="F458" s="193"/>
      <c r="G458" s="193"/>
      <c r="H458" s="192" t="s">
        <v>1260</v>
      </c>
      <c r="I458" s="192" t="s">
        <v>601</v>
      </c>
      <c r="J458" s="192" t="s">
        <v>602</v>
      </c>
      <c r="K458" s="192" t="s">
        <v>603</v>
      </c>
      <c r="L458" s="192" t="s">
        <v>604</v>
      </c>
      <c r="M458" s="192" t="s">
        <v>605</v>
      </c>
      <c r="N458" s="192"/>
      <c r="O458" s="192"/>
      <c r="P458" s="192"/>
      <c r="Q458" s="192"/>
      <c r="R458" s="192" t="s">
        <v>606</v>
      </c>
    </row>
    <row r="459" spans="1:18" ht="13.15" customHeight="1" x14ac:dyDescent="0.25">
      <c r="A459" s="192" t="s">
        <v>1249</v>
      </c>
      <c r="B459" s="192" t="s">
        <v>1256</v>
      </c>
      <c r="C459" s="192" t="s">
        <v>1255</v>
      </c>
      <c r="D459" s="192">
        <v>12405.6</v>
      </c>
      <c r="E459" s="192">
        <v>17680.46</v>
      </c>
      <c r="F459" s="193"/>
      <c r="G459" s="193"/>
      <c r="H459" s="192" t="s">
        <v>1257</v>
      </c>
      <c r="I459" s="192" t="s">
        <v>601</v>
      </c>
      <c r="J459" s="192" t="s">
        <v>602</v>
      </c>
      <c r="K459" s="192" t="s">
        <v>603</v>
      </c>
      <c r="L459" s="192" t="s">
        <v>604</v>
      </c>
      <c r="M459" s="192" t="s">
        <v>605</v>
      </c>
      <c r="N459" s="192"/>
      <c r="O459" s="192"/>
      <c r="P459" s="192"/>
      <c r="Q459" s="192"/>
      <c r="R459" s="192" t="s">
        <v>606</v>
      </c>
    </row>
    <row r="460" spans="1:18" ht="13.15" customHeight="1" x14ac:dyDescent="0.25">
      <c r="A460" s="192" t="s">
        <v>1249</v>
      </c>
      <c r="B460" s="192" t="s">
        <v>1253</v>
      </c>
      <c r="C460" s="192" t="s">
        <v>1252</v>
      </c>
      <c r="D460" s="192">
        <v>8896.42</v>
      </c>
      <c r="E460" s="192">
        <v>12679.18</v>
      </c>
      <c r="F460" s="193"/>
      <c r="G460" s="193"/>
      <c r="H460" s="192" t="s">
        <v>1254</v>
      </c>
      <c r="I460" s="192" t="s">
        <v>601</v>
      </c>
      <c r="J460" s="192" t="s">
        <v>602</v>
      </c>
      <c r="K460" s="192" t="s">
        <v>603</v>
      </c>
      <c r="L460" s="192" t="s">
        <v>604</v>
      </c>
      <c r="M460" s="192" t="s">
        <v>605</v>
      </c>
      <c r="N460" s="192"/>
      <c r="O460" s="192"/>
      <c r="P460" s="192"/>
      <c r="Q460" s="192"/>
      <c r="R460" s="192" t="s">
        <v>606</v>
      </c>
    </row>
    <row r="461" spans="1:18" ht="13.15" customHeight="1" x14ac:dyDescent="0.25">
      <c r="A461" s="192" t="s">
        <v>1008</v>
      </c>
      <c r="B461" s="194"/>
      <c r="C461" s="192" t="s">
        <v>1082</v>
      </c>
      <c r="D461" s="192"/>
      <c r="E461" s="192"/>
      <c r="F461" s="193"/>
      <c r="G461" s="193"/>
      <c r="H461" s="192" t="s">
        <v>1083</v>
      </c>
      <c r="I461" s="192" t="s">
        <v>601</v>
      </c>
      <c r="J461" s="192" t="s">
        <v>602</v>
      </c>
      <c r="K461" s="192" t="s">
        <v>603</v>
      </c>
      <c r="L461" s="192" t="s">
        <v>604</v>
      </c>
      <c r="M461" s="192" t="s">
        <v>605</v>
      </c>
      <c r="N461" s="192"/>
      <c r="O461" s="192"/>
      <c r="P461" s="192"/>
      <c r="Q461" s="192"/>
      <c r="R461" s="192" t="s">
        <v>606</v>
      </c>
    </row>
    <row r="462" spans="1:18" ht="13.15" customHeight="1" x14ac:dyDescent="0.25">
      <c r="A462" s="192" t="s">
        <v>1536</v>
      </c>
      <c r="B462" s="194"/>
      <c r="C462" s="192" t="s">
        <v>1614</v>
      </c>
      <c r="D462" s="192">
        <v>1702.46</v>
      </c>
      <c r="E462" s="192">
        <v>2426.35</v>
      </c>
      <c r="F462" s="193"/>
      <c r="G462" s="193"/>
      <c r="H462" s="192" t="s">
        <v>1615</v>
      </c>
      <c r="I462" s="195" t="s">
        <v>1469</v>
      </c>
      <c r="J462" s="192" t="s">
        <v>602</v>
      </c>
      <c r="K462" s="192" t="s">
        <v>603</v>
      </c>
      <c r="L462" s="192" t="s">
        <v>604</v>
      </c>
      <c r="M462" s="192" t="s">
        <v>605</v>
      </c>
      <c r="N462" s="192"/>
      <c r="O462" s="192"/>
      <c r="P462" s="192"/>
      <c r="Q462" s="192"/>
      <c r="R462" s="192" t="s">
        <v>847</v>
      </c>
    </row>
    <row r="463" spans="1:18" ht="13.15" customHeight="1" x14ac:dyDescent="0.25">
      <c r="A463" s="192" t="s">
        <v>1008</v>
      </c>
      <c r="B463" s="194"/>
      <c r="C463" s="192" t="s">
        <v>1080</v>
      </c>
      <c r="D463" s="192"/>
      <c r="E463" s="192"/>
      <c r="F463" s="193"/>
      <c r="G463" s="193"/>
      <c r="H463" s="192" t="s">
        <v>1081</v>
      </c>
      <c r="I463" s="192" t="s">
        <v>601</v>
      </c>
      <c r="J463" s="192" t="s">
        <v>602</v>
      </c>
      <c r="K463" s="192" t="s">
        <v>603</v>
      </c>
      <c r="L463" s="192" t="s">
        <v>604</v>
      </c>
      <c r="M463" s="192" t="s">
        <v>605</v>
      </c>
      <c r="N463" s="192"/>
      <c r="O463" s="192"/>
      <c r="P463" s="192"/>
      <c r="Q463" s="192"/>
      <c r="R463" s="192" t="s">
        <v>1003</v>
      </c>
    </row>
    <row r="464" spans="1:18" ht="13.15" customHeight="1" x14ac:dyDescent="0.25">
      <c r="A464" s="192" t="s">
        <v>1008</v>
      </c>
      <c r="B464" s="192" t="s">
        <v>163</v>
      </c>
      <c r="C464" s="192" t="s">
        <v>1078</v>
      </c>
      <c r="D464" s="192">
        <v>4273.75</v>
      </c>
      <c r="E464" s="192">
        <v>6090.95</v>
      </c>
      <c r="F464" s="193"/>
      <c r="G464" s="193"/>
      <c r="H464" s="192" t="s">
        <v>1079</v>
      </c>
      <c r="I464" s="192" t="s">
        <v>601</v>
      </c>
      <c r="J464" s="192" t="s">
        <v>602</v>
      </c>
      <c r="K464" s="192" t="s">
        <v>603</v>
      </c>
      <c r="L464" s="192" t="s">
        <v>604</v>
      </c>
      <c r="M464" s="192" t="s">
        <v>605</v>
      </c>
      <c r="N464" s="192"/>
      <c r="O464" s="192"/>
      <c r="P464" s="192" t="s">
        <v>704</v>
      </c>
      <c r="Q464" s="192" t="s">
        <v>1016</v>
      </c>
      <c r="R464" s="192" t="s">
        <v>606</v>
      </c>
    </row>
    <row r="465" spans="1:18" ht="13.15" customHeight="1" x14ac:dyDescent="0.25">
      <c r="A465" s="192" t="s">
        <v>1008</v>
      </c>
      <c r="B465" s="194"/>
      <c r="C465" s="192" t="s">
        <v>1076</v>
      </c>
      <c r="D465" s="192"/>
      <c r="E465" s="192"/>
      <c r="F465" s="193"/>
      <c r="G465" s="193"/>
      <c r="H465" s="192" t="s">
        <v>1077</v>
      </c>
      <c r="I465" s="192" t="s">
        <v>601</v>
      </c>
      <c r="J465" s="192" t="s">
        <v>602</v>
      </c>
      <c r="K465" s="192" t="s">
        <v>603</v>
      </c>
      <c r="L465" s="192" t="s">
        <v>604</v>
      </c>
      <c r="M465" s="192" t="s">
        <v>605</v>
      </c>
      <c r="N465" s="192"/>
      <c r="O465" s="192"/>
      <c r="P465" s="192"/>
      <c r="Q465" s="192"/>
      <c r="R465" s="192" t="s">
        <v>606</v>
      </c>
    </row>
    <row r="466" spans="1:18" ht="13.15" customHeight="1" x14ac:dyDescent="0.25">
      <c r="A466" s="192" t="s">
        <v>1536</v>
      </c>
      <c r="B466" s="192" t="s">
        <v>406</v>
      </c>
      <c r="C466" s="192" t="s">
        <v>1612</v>
      </c>
      <c r="D466" s="192">
        <v>5010.33</v>
      </c>
      <c r="E466" s="192">
        <v>7140.72</v>
      </c>
      <c r="F466" s="193"/>
      <c r="G466" s="193"/>
      <c r="H466" s="192" t="s">
        <v>1613</v>
      </c>
      <c r="I466" s="195" t="s">
        <v>622</v>
      </c>
      <c r="J466" s="192" t="s">
        <v>602</v>
      </c>
      <c r="K466" s="192" t="s">
        <v>603</v>
      </c>
      <c r="L466" s="192" t="s">
        <v>604</v>
      </c>
      <c r="M466" s="192" t="s">
        <v>605</v>
      </c>
      <c r="N466" s="192"/>
      <c r="O466" s="192"/>
      <c r="P466" s="192" t="s">
        <v>704</v>
      </c>
      <c r="Q466" s="192" t="s">
        <v>1013</v>
      </c>
      <c r="R466" s="192" t="s">
        <v>606</v>
      </c>
    </row>
    <row r="467" spans="1:18" ht="13.15" customHeight="1" x14ac:dyDescent="0.25">
      <c r="A467" s="192" t="s">
        <v>1536</v>
      </c>
      <c r="B467" s="192" t="s">
        <v>301</v>
      </c>
      <c r="C467" s="192" t="s">
        <v>1609</v>
      </c>
      <c r="D467" s="192">
        <v>632.27</v>
      </c>
      <c r="E467" s="192">
        <v>901.11</v>
      </c>
      <c r="F467" s="193"/>
      <c r="G467" s="193"/>
      <c r="H467" s="192" t="s">
        <v>1610</v>
      </c>
      <c r="I467" s="192" t="s">
        <v>601</v>
      </c>
      <c r="J467" s="192" t="s">
        <v>602</v>
      </c>
      <c r="K467" s="192" t="s">
        <v>603</v>
      </c>
      <c r="L467" s="192" t="s">
        <v>604</v>
      </c>
      <c r="M467" s="192" t="s">
        <v>605</v>
      </c>
      <c r="N467" s="192"/>
      <c r="O467" s="192"/>
      <c r="P467" s="192" t="s">
        <v>704</v>
      </c>
      <c r="Q467" s="192" t="s">
        <v>1611</v>
      </c>
      <c r="R467" s="192" t="s">
        <v>847</v>
      </c>
    </row>
    <row r="468" spans="1:18" ht="13.15" customHeight="1" x14ac:dyDescent="0.25">
      <c r="A468" s="192" t="s">
        <v>1536</v>
      </c>
      <c r="B468" s="194"/>
      <c r="C468" s="192" t="s">
        <v>1607</v>
      </c>
      <c r="D468" s="192"/>
      <c r="E468" s="192"/>
      <c r="F468" s="193"/>
      <c r="G468" s="193"/>
      <c r="H468" s="192" t="s">
        <v>1608</v>
      </c>
      <c r="I468" s="195" t="s">
        <v>1469</v>
      </c>
      <c r="J468" s="192" t="s">
        <v>602</v>
      </c>
      <c r="K468" s="192" t="s">
        <v>603</v>
      </c>
      <c r="L468" s="192" t="s">
        <v>604</v>
      </c>
      <c r="M468" s="192" t="s">
        <v>605</v>
      </c>
      <c r="N468" s="192"/>
      <c r="O468" s="192"/>
      <c r="P468" s="192"/>
      <c r="Q468" s="192"/>
      <c r="R468" s="192" t="s">
        <v>847</v>
      </c>
    </row>
    <row r="469" spans="1:18" ht="13.15" customHeight="1" x14ac:dyDescent="0.25">
      <c r="A469" s="192" t="s">
        <v>1008</v>
      </c>
      <c r="B469" s="194"/>
      <c r="C469" s="192" t="s">
        <v>1074</v>
      </c>
      <c r="D469" s="192"/>
      <c r="E469" s="192"/>
      <c r="F469" s="193"/>
      <c r="G469" s="193"/>
      <c r="H469" s="192" t="s">
        <v>1075</v>
      </c>
      <c r="I469" s="192" t="s">
        <v>601</v>
      </c>
      <c r="J469" s="192" t="s">
        <v>602</v>
      </c>
      <c r="K469" s="192" t="s">
        <v>603</v>
      </c>
      <c r="L469" s="192" t="s">
        <v>604</v>
      </c>
      <c r="M469" s="192" t="s">
        <v>605</v>
      </c>
      <c r="N469" s="192"/>
      <c r="O469" s="192"/>
      <c r="P469" s="192"/>
      <c r="Q469" s="192"/>
      <c r="R469" s="192" t="s">
        <v>606</v>
      </c>
    </row>
    <row r="470" spans="1:18" ht="13.15" customHeight="1" x14ac:dyDescent="0.25">
      <c r="A470" s="192" t="s">
        <v>1536</v>
      </c>
      <c r="B470" s="194"/>
      <c r="C470" s="192" t="s">
        <v>1605</v>
      </c>
      <c r="D470" s="192"/>
      <c r="E470" s="192"/>
      <c r="F470" s="193"/>
      <c r="G470" s="193"/>
      <c r="H470" s="192" t="s">
        <v>1606</v>
      </c>
      <c r="I470" s="192" t="s">
        <v>601</v>
      </c>
      <c r="J470" s="192" t="s">
        <v>602</v>
      </c>
      <c r="K470" s="192" t="s">
        <v>603</v>
      </c>
      <c r="L470" s="192" t="s">
        <v>604</v>
      </c>
      <c r="M470" s="192" t="s">
        <v>605</v>
      </c>
      <c r="N470" s="192"/>
      <c r="O470" s="192"/>
      <c r="P470" s="192"/>
      <c r="Q470" s="192"/>
      <c r="R470" s="192" t="s">
        <v>606</v>
      </c>
    </row>
    <row r="471" spans="1:18" ht="13.15" customHeight="1" x14ac:dyDescent="0.25">
      <c r="A471" s="192" t="s">
        <v>1536</v>
      </c>
      <c r="B471" s="194"/>
      <c r="C471" s="192" t="s">
        <v>1603</v>
      </c>
      <c r="D471" s="192">
        <v>147.72999999999999</v>
      </c>
      <c r="E471" s="192">
        <v>210.54</v>
      </c>
      <c r="F471" s="193"/>
      <c r="G471" s="193"/>
      <c r="H471" s="192" t="s">
        <v>1604</v>
      </c>
      <c r="I471" s="195" t="s">
        <v>1469</v>
      </c>
      <c r="J471" s="192" t="s">
        <v>602</v>
      </c>
      <c r="K471" s="192" t="s">
        <v>603</v>
      </c>
      <c r="L471" s="192" t="s">
        <v>604</v>
      </c>
      <c r="M471" s="192" t="s">
        <v>605</v>
      </c>
      <c r="N471" s="192"/>
      <c r="O471" s="192"/>
      <c r="P471" s="192"/>
      <c r="Q471" s="192"/>
      <c r="R471" s="192" t="s">
        <v>606</v>
      </c>
    </row>
    <row r="472" spans="1:18" ht="13.15" customHeight="1" x14ac:dyDescent="0.25">
      <c r="A472" s="192" t="s">
        <v>1008</v>
      </c>
      <c r="B472" s="194"/>
      <c r="C472" s="192" t="s">
        <v>1072</v>
      </c>
      <c r="D472" s="192"/>
      <c r="E472" s="192"/>
      <c r="F472" s="193"/>
      <c r="G472" s="193"/>
      <c r="H472" s="192" t="s">
        <v>1073</v>
      </c>
      <c r="I472" s="195" t="s">
        <v>622</v>
      </c>
      <c r="J472" s="192" t="s">
        <v>602</v>
      </c>
      <c r="K472" s="192" t="s">
        <v>603</v>
      </c>
      <c r="L472" s="192" t="s">
        <v>604</v>
      </c>
      <c r="M472" s="192" t="s">
        <v>605</v>
      </c>
      <c r="N472" s="192"/>
      <c r="O472" s="192"/>
      <c r="P472" s="192"/>
      <c r="Q472" s="192"/>
      <c r="R472" s="192" t="s">
        <v>606</v>
      </c>
    </row>
    <row r="473" spans="1:18" ht="13.15" customHeight="1" x14ac:dyDescent="0.25">
      <c r="A473" s="192" t="s">
        <v>1536</v>
      </c>
      <c r="B473" s="194"/>
      <c r="C473" s="192" t="s">
        <v>1601</v>
      </c>
      <c r="D473" s="192"/>
      <c r="E473" s="192"/>
      <c r="F473" s="193"/>
      <c r="G473" s="193"/>
      <c r="H473" s="192" t="s">
        <v>1602</v>
      </c>
      <c r="I473" s="192" t="s">
        <v>601</v>
      </c>
      <c r="J473" s="192" t="s">
        <v>602</v>
      </c>
      <c r="K473" s="192" t="s">
        <v>603</v>
      </c>
      <c r="L473" s="192" t="s">
        <v>604</v>
      </c>
      <c r="M473" s="192" t="s">
        <v>605</v>
      </c>
      <c r="N473" s="192"/>
      <c r="O473" s="192"/>
      <c r="P473" s="192"/>
      <c r="Q473" s="192"/>
      <c r="R473" s="192" t="s">
        <v>606</v>
      </c>
    </row>
    <row r="474" spans="1:18" ht="13.15" customHeight="1" x14ac:dyDescent="0.25">
      <c r="A474" s="192" t="s">
        <v>1536</v>
      </c>
      <c r="B474" s="194"/>
      <c r="C474" s="192" t="s">
        <v>1599</v>
      </c>
      <c r="D474" s="192">
        <v>81.03</v>
      </c>
      <c r="E474" s="192">
        <v>115.48</v>
      </c>
      <c r="F474" s="193"/>
      <c r="G474" s="193"/>
      <c r="H474" s="192" t="s">
        <v>1600</v>
      </c>
      <c r="I474" s="195" t="s">
        <v>1469</v>
      </c>
      <c r="J474" s="192" t="s">
        <v>602</v>
      </c>
      <c r="K474" s="192" t="s">
        <v>603</v>
      </c>
      <c r="L474" s="192" t="s">
        <v>604</v>
      </c>
      <c r="M474" s="192" t="s">
        <v>605</v>
      </c>
      <c r="N474" s="192"/>
      <c r="O474" s="192"/>
      <c r="P474" s="192"/>
      <c r="Q474" s="192"/>
      <c r="R474" s="192" t="s">
        <v>606</v>
      </c>
    </row>
    <row r="475" spans="1:18" ht="13.15" customHeight="1" x14ac:dyDescent="0.25">
      <c r="A475" s="192" t="s">
        <v>1536</v>
      </c>
      <c r="B475" s="194"/>
      <c r="C475" s="192" t="s">
        <v>1597</v>
      </c>
      <c r="D475" s="192"/>
      <c r="E475" s="192"/>
      <c r="F475" s="193"/>
      <c r="G475" s="193"/>
      <c r="H475" s="192" t="s">
        <v>1598</v>
      </c>
      <c r="I475" s="192" t="s">
        <v>601</v>
      </c>
      <c r="J475" s="192" t="s">
        <v>602</v>
      </c>
      <c r="K475" s="192" t="s">
        <v>603</v>
      </c>
      <c r="L475" s="192" t="s">
        <v>604</v>
      </c>
      <c r="M475" s="192" t="s">
        <v>605</v>
      </c>
      <c r="N475" s="192"/>
      <c r="O475" s="192"/>
      <c r="P475" s="192"/>
      <c r="Q475" s="192"/>
      <c r="R475" s="192" t="s">
        <v>606</v>
      </c>
    </row>
    <row r="476" spans="1:18" ht="13.15" customHeight="1" x14ac:dyDescent="0.25">
      <c r="A476" s="192" t="s">
        <v>1536</v>
      </c>
      <c r="B476" s="194"/>
      <c r="C476" s="192" t="s">
        <v>1595</v>
      </c>
      <c r="D476" s="192"/>
      <c r="E476" s="192"/>
      <c r="F476" s="193"/>
      <c r="G476" s="193"/>
      <c r="H476" s="192" t="s">
        <v>1596</v>
      </c>
      <c r="I476" s="192" t="s">
        <v>601</v>
      </c>
      <c r="J476" s="192" t="s">
        <v>602</v>
      </c>
      <c r="K476" s="192" t="s">
        <v>603</v>
      </c>
      <c r="L476" s="192" t="s">
        <v>604</v>
      </c>
      <c r="M476" s="192" t="s">
        <v>605</v>
      </c>
      <c r="N476" s="192"/>
      <c r="O476" s="192"/>
      <c r="P476" s="192"/>
      <c r="Q476" s="192"/>
      <c r="R476" s="192" t="s">
        <v>606</v>
      </c>
    </row>
    <row r="477" spans="1:18" ht="13.15" customHeight="1" x14ac:dyDescent="0.25">
      <c r="A477" s="192" t="s">
        <v>1536</v>
      </c>
      <c r="B477" s="194"/>
      <c r="C477" s="192" t="s">
        <v>1593</v>
      </c>
      <c r="D477" s="192"/>
      <c r="E477" s="192"/>
      <c r="F477" s="193"/>
      <c r="G477" s="193"/>
      <c r="H477" s="192" t="s">
        <v>1594</v>
      </c>
      <c r="I477" s="192" t="s">
        <v>601</v>
      </c>
      <c r="J477" s="192" t="s">
        <v>602</v>
      </c>
      <c r="K477" s="192" t="s">
        <v>603</v>
      </c>
      <c r="L477" s="192" t="s">
        <v>604</v>
      </c>
      <c r="M477" s="192" t="s">
        <v>605</v>
      </c>
      <c r="N477" s="192"/>
      <c r="O477" s="192"/>
      <c r="P477" s="192"/>
      <c r="Q477" s="192"/>
      <c r="R477" s="192" t="s">
        <v>606</v>
      </c>
    </row>
    <row r="478" spans="1:18" ht="13.15" customHeight="1" x14ac:dyDescent="0.25">
      <c r="A478" s="192" t="s">
        <v>1536</v>
      </c>
      <c r="B478" s="194"/>
      <c r="C478" s="192" t="s">
        <v>1591</v>
      </c>
      <c r="D478" s="192"/>
      <c r="E478" s="192"/>
      <c r="F478" s="193"/>
      <c r="G478" s="193"/>
      <c r="H478" s="192" t="s">
        <v>1592</v>
      </c>
      <c r="I478" s="192" t="s">
        <v>601</v>
      </c>
      <c r="J478" s="192" t="s">
        <v>602</v>
      </c>
      <c r="K478" s="192" t="s">
        <v>603</v>
      </c>
      <c r="L478" s="192" t="s">
        <v>604</v>
      </c>
      <c r="M478" s="192" t="s">
        <v>605</v>
      </c>
      <c r="N478" s="192"/>
      <c r="O478" s="192"/>
      <c r="P478" s="192"/>
      <c r="Q478" s="192"/>
      <c r="R478" s="192" t="s">
        <v>606</v>
      </c>
    </row>
    <row r="479" spans="1:18" ht="13.15" customHeight="1" x14ac:dyDescent="0.25">
      <c r="A479" s="192" t="s">
        <v>1536</v>
      </c>
      <c r="B479" s="194"/>
      <c r="C479" s="192" t="s">
        <v>1589</v>
      </c>
      <c r="D479" s="192"/>
      <c r="E479" s="192"/>
      <c r="F479" s="193"/>
      <c r="G479" s="193"/>
      <c r="H479" s="192" t="s">
        <v>1590</v>
      </c>
      <c r="I479" s="192" t="s">
        <v>601</v>
      </c>
      <c r="J479" s="192" t="s">
        <v>602</v>
      </c>
      <c r="K479" s="192" t="s">
        <v>603</v>
      </c>
      <c r="L479" s="192" t="s">
        <v>604</v>
      </c>
      <c r="M479" s="192" t="s">
        <v>605</v>
      </c>
      <c r="N479" s="192"/>
      <c r="O479" s="192"/>
      <c r="P479" s="192"/>
      <c r="Q479" s="192"/>
      <c r="R479" s="192" t="s">
        <v>606</v>
      </c>
    </row>
    <row r="480" spans="1:18" ht="13.15" customHeight="1" x14ac:dyDescent="0.25">
      <c r="A480" s="192" t="s">
        <v>1536</v>
      </c>
      <c r="B480" s="194"/>
      <c r="C480" s="192" t="s">
        <v>1587</v>
      </c>
      <c r="D480" s="192"/>
      <c r="E480" s="192"/>
      <c r="F480" s="193"/>
      <c r="G480" s="193"/>
      <c r="H480" s="192" t="s">
        <v>1588</v>
      </c>
      <c r="I480" s="192" t="s">
        <v>601</v>
      </c>
      <c r="J480" s="192" t="s">
        <v>602</v>
      </c>
      <c r="K480" s="192" t="s">
        <v>603</v>
      </c>
      <c r="L480" s="192" t="s">
        <v>604</v>
      </c>
      <c r="M480" s="192" t="s">
        <v>605</v>
      </c>
      <c r="N480" s="192"/>
      <c r="O480" s="192"/>
      <c r="P480" s="192"/>
      <c r="Q480" s="192"/>
      <c r="R480" s="192" t="s">
        <v>606</v>
      </c>
    </row>
    <row r="481" spans="1:18" ht="13.15" customHeight="1" x14ac:dyDescent="0.25">
      <c r="A481" s="192" t="s">
        <v>1536</v>
      </c>
      <c r="B481" s="194"/>
      <c r="C481" s="192" t="s">
        <v>1585</v>
      </c>
      <c r="D481" s="192"/>
      <c r="E481" s="192"/>
      <c r="F481" s="193"/>
      <c r="G481" s="193"/>
      <c r="H481" s="192" t="s">
        <v>1586</v>
      </c>
      <c r="I481" s="192" t="s">
        <v>601</v>
      </c>
      <c r="J481" s="192" t="s">
        <v>602</v>
      </c>
      <c r="K481" s="192" t="s">
        <v>603</v>
      </c>
      <c r="L481" s="192" t="s">
        <v>604</v>
      </c>
      <c r="M481" s="192" t="s">
        <v>605</v>
      </c>
      <c r="N481" s="192"/>
      <c r="O481" s="192"/>
      <c r="P481" s="192"/>
      <c r="Q481" s="192"/>
      <c r="R481" s="192" t="s">
        <v>606</v>
      </c>
    </row>
    <row r="482" spans="1:18" ht="13.15" customHeight="1" x14ac:dyDescent="0.25">
      <c r="A482" s="192" t="s">
        <v>1536</v>
      </c>
      <c r="B482" s="194"/>
      <c r="C482" s="192" t="s">
        <v>1583</v>
      </c>
      <c r="D482" s="192"/>
      <c r="E482" s="192"/>
      <c r="F482" s="193"/>
      <c r="G482" s="193"/>
      <c r="H482" s="192" t="s">
        <v>1584</v>
      </c>
      <c r="I482" s="192" t="s">
        <v>601</v>
      </c>
      <c r="J482" s="192" t="s">
        <v>602</v>
      </c>
      <c r="K482" s="192" t="s">
        <v>603</v>
      </c>
      <c r="L482" s="192" t="s">
        <v>604</v>
      </c>
      <c r="M482" s="192" t="s">
        <v>605</v>
      </c>
      <c r="N482" s="192"/>
      <c r="O482" s="192"/>
      <c r="P482" s="192"/>
      <c r="Q482" s="192"/>
      <c r="R482" s="192" t="s">
        <v>606</v>
      </c>
    </row>
    <row r="483" spans="1:18" ht="13.15" customHeight="1" x14ac:dyDescent="0.25">
      <c r="A483" s="192" t="s">
        <v>1536</v>
      </c>
      <c r="B483" s="194"/>
      <c r="C483" s="192" t="s">
        <v>1581</v>
      </c>
      <c r="D483" s="192"/>
      <c r="E483" s="192"/>
      <c r="F483" s="193"/>
      <c r="G483" s="193"/>
      <c r="H483" s="192" t="s">
        <v>1582</v>
      </c>
      <c r="I483" s="192" t="s">
        <v>601</v>
      </c>
      <c r="J483" s="192" t="s">
        <v>602</v>
      </c>
      <c r="K483" s="192" t="s">
        <v>603</v>
      </c>
      <c r="L483" s="192" t="s">
        <v>604</v>
      </c>
      <c r="M483" s="192" t="s">
        <v>605</v>
      </c>
      <c r="N483" s="192"/>
      <c r="O483" s="192"/>
      <c r="P483" s="192"/>
      <c r="Q483" s="192"/>
      <c r="R483" s="192" t="s">
        <v>606</v>
      </c>
    </row>
    <row r="484" spans="1:18" ht="13.15" customHeight="1" x14ac:dyDescent="0.25">
      <c r="A484" s="192" t="s">
        <v>1536</v>
      </c>
      <c r="B484" s="194"/>
      <c r="C484" s="192" t="s">
        <v>1579</v>
      </c>
      <c r="D484" s="192"/>
      <c r="E484" s="192"/>
      <c r="F484" s="193"/>
      <c r="G484" s="193"/>
      <c r="H484" s="192" t="s">
        <v>1580</v>
      </c>
      <c r="I484" s="192" t="s">
        <v>601</v>
      </c>
      <c r="J484" s="192" t="s">
        <v>602</v>
      </c>
      <c r="K484" s="192" t="s">
        <v>603</v>
      </c>
      <c r="L484" s="192" t="s">
        <v>604</v>
      </c>
      <c r="M484" s="192" t="s">
        <v>605</v>
      </c>
      <c r="N484" s="192"/>
      <c r="O484" s="192"/>
      <c r="P484" s="192"/>
      <c r="Q484" s="192"/>
      <c r="R484" s="192" t="s">
        <v>606</v>
      </c>
    </row>
    <row r="485" spans="1:18" ht="13.15" customHeight="1" x14ac:dyDescent="0.25">
      <c r="A485" s="192" t="s">
        <v>1536</v>
      </c>
      <c r="B485" s="194"/>
      <c r="C485" s="192" t="s">
        <v>1577</v>
      </c>
      <c r="D485" s="192"/>
      <c r="E485" s="192"/>
      <c r="F485" s="193"/>
      <c r="G485" s="193"/>
      <c r="H485" s="192" t="s">
        <v>1578</v>
      </c>
      <c r="I485" s="192" t="s">
        <v>601</v>
      </c>
      <c r="J485" s="192" t="s">
        <v>602</v>
      </c>
      <c r="K485" s="192" t="s">
        <v>603</v>
      </c>
      <c r="L485" s="192" t="s">
        <v>604</v>
      </c>
      <c r="M485" s="192" t="s">
        <v>605</v>
      </c>
      <c r="N485" s="192"/>
      <c r="O485" s="192"/>
      <c r="P485" s="192"/>
      <c r="Q485" s="192"/>
      <c r="R485" s="192" t="s">
        <v>606</v>
      </c>
    </row>
    <row r="486" spans="1:18" ht="13.15" customHeight="1" x14ac:dyDescent="0.25">
      <c r="A486" s="192" t="s">
        <v>1536</v>
      </c>
      <c r="B486" s="194"/>
      <c r="C486" s="192" t="s">
        <v>1575</v>
      </c>
      <c r="D486" s="192"/>
      <c r="E486" s="192"/>
      <c r="F486" s="193"/>
      <c r="G486" s="193"/>
      <c r="H486" s="192" t="s">
        <v>1576</v>
      </c>
      <c r="I486" s="192" t="s">
        <v>601</v>
      </c>
      <c r="J486" s="192" t="s">
        <v>602</v>
      </c>
      <c r="K486" s="192" t="s">
        <v>603</v>
      </c>
      <c r="L486" s="192" t="s">
        <v>604</v>
      </c>
      <c r="M486" s="192" t="s">
        <v>605</v>
      </c>
      <c r="N486" s="192"/>
      <c r="O486" s="192"/>
      <c r="P486" s="192"/>
      <c r="Q486" s="192"/>
      <c r="R486" s="192" t="s">
        <v>606</v>
      </c>
    </row>
    <row r="487" spans="1:18" ht="13.15" customHeight="1" x14ac:dyDescent="0.25">
      <c r="A487" s="192" t="s">
        <v>1008</v>
      </c>
      <c r="B487" s="194"/>
      <c r="C487" s="192" t="s">
        <v>1070</v>
      </c>
      <c r="D487" s="192"/>
      <c r="E487" s="192"/>
      <c r="F487" s="193"/>
      <c r="G487" s="193"/>
      <c r="H487" s="192" t="s">
        <v>1071</v>
      </c>
      <c r="I487" s="192" t="s">
        <v>601</v>
      </c>
      <c r="J487" s="192" t="s">
        <v>602</v>
      </c>
      <c r="K487" s="192" t="s">
        <v>603</v>
      </c>
      <c r="L487" s="192" t="s">
        <v>604</v>
      </c>
      <c r="M487" s="192" t="s">
        <v>605</v>
      </c>
      <c r="N487" s="192"/>
      <c r="O487" s="192"/>
      <c r="P487" s="192"/>
      <c r="Q487" s="192"/>
      <c r="R487" s="192" t="s">
        <v>606</v>
      </c>
    </row>
    <row r="488" spans="1:18" ht="13.15" customHeight="1" x14ac:dyDescent="0.25">
      <c r="A488" s="192" t="s">
        <v>1536</v>
      </c>
      <c r="B488" s="194"/>
      <c r="C488" s="192" t="s">
        <v>1573</v>
      </c>
      <c r="D488" s="192">
        <v>33.630000000000003</v>
      </c>
      <c r="E488" s="192">
        <v>47.93</v>
      </c>
      <c r="F488" s="193"/>
      <c r="G488" s="193"/>
      <c r="H488" s="192" t="s">
        <v>1574</v>
      </c>
      <c r="I488" s="195" t="s">
        <v>1469</v>
      </c>
      <c r="J488" s="192" t="s">
        <v>602</v>
      </c>
      <c r="K488" s="192" t="s">
        <v>603</v>
      </c>
      <c r="L488" s="192" t="s">
        <v>604</v>
      </c>
      <c r="M488" s="192" t="s">
        <v>605</v>
      </c>
      <c r="N488" s="192"/>
      <c r="O488" s="192"/>
      <c r="P488" s="192"/>
      <c r="Q488" s="192"/>
      <c r="R488" s="192" t="s">
        <v>606</v>
      </c>
    </row>
    <row r="489" spans="1:18" ht="13.15" customHeight="1" x14ac:dyDescent="0.25">
      <c r="A489" s="192" t="s">
        <v>1536</v>
      </c>
      <c r="B489" s="194"/>
      <c r="C489" s="192" t="s">
        <v>1571</v>
      </c>
      <c r="D489" s="192"/>
      <c r="E489" s="192"/>
      <c r="F489" s="193"/>
      <c r="G489" s="193"/>
      <c r="H489" s="192" t="s">
        <v>1572</v>
      </c>
      <c r="I489" s="192" t="s">
        <v>601</v>
      </c>
      <c r="J489" s="192" t="s">
        <v>602</v>
      </c>
      <c r="K489" s="192" t="s">
        <v>603</v>
      </c>
      <c r="L489" s="192" t="s">
        <v>604</v>
      </c>
      <c r="M489" s="192" t="s">
        <v>605</v>
      </c>
      <c r="N489" s="192"/>
      <c r="O489" s="192"/>
      <c r="P489" s="192"/>
      <c r="Q489" s="192"/>
      <c r="R489" s="192" t="s">
        <v>606</v>
      </c>
    </row>
    <row r="490" spans="1:18" ht="13.15" customHeight="1" x14ac:dyDescent="0.25">
      <c r="A490" s="192" t="s">
        <v>1536</v>
      </c>
      <c r="B490" s="194"/>
      <c r="C490" s="192" t="s">
        <v>1569</v>
      </c>
      <c r="D490" s="192"/>
      <c r="E490" s="192"/>
      <c r="F490" s="193"/>
      <c r="G490" s="193"/>
      <c r="H490" s="192" t="s">
        <v>1570</v>
      </c>
      <c r="I490" s="192" t="s">
        <v>601</v>
      </c>
      <c r="J490" s="192" t="s">
        <v>602</v>
      </c>
      <c r="K490" s="192" t="s">
        <v>603</v>
      </c>
      <c r="L490" s="192" t="s">
        <v>604</v>
      </c>
      <c r="M490" s="192" t="s">
        <v>605</v>
      </c>
      <c r="N490" s="192"/>
      <c r="O490" s="192"/>
      <c r="P490" s="192"/>
      <c r="Q490" s="192"/>
      <c r="R490" s="192" t="s">
        <v>606</v>
      </c>
    </row>
    <row r="491" spans="1:18" ht="13.15" customHeight="1" x14ac:dyDescent="0.25">
      <c r="A491" s="192" t="s">
        <v>1536</v>
      </c>
      <c r="B491" s="194"/>
      <c r="C491" s="192" t="s">
        <v>1567</v>
      </c>
      <c r="D491" s="192"/>
      <c r="E491" s="192"/>
      <c r="F491" s="193"/>
      <c r="G491" s="193"/>
      <c r="H491" s="192" t="s">
        <v>1568</v>
      </c>
      <c r="I491" s="192" t="s">
        <v>601</v>
      </c>
      <c r="J491" s="192" t="s">
        <v>602</v>
      </c>
      <c r="K491" s="192" t="s">
        <v>603</v>
      </c>
      <c r="L491" s="192" t="s">
        <v>604</v>
      </c>
      <c r="M491" s="192" t="s">
        <v>605</v>
      </c>
      <c r="N491" s="192"/>
      <c r="O491" s="192"/>
      <c r="P491" s="192"/>
      <c r="Q491" s="192"/>
      <c r="R491" s="192" t="s">
        <v>606</v>
      </c>
    </row>
    <row r="492" spans="1:18" ht="13.15" customHeight="1" x14ac:dyDescent="0.25">
      <c r="A492" s="192" t="s">
        <v>1536</v>
      </c>
      <c r="B492" s="194"/>
      <c r="C492" s="192" t="s">
        <v>1565</v>
      </c>
      <c r="D492" s="192"/>
      <c r="E492" s="192"/>
      <c r="F492" s="193"/>
      <c r="G492" s="193"/>
      <c r="H492" s="192" t="s">
        <v>1566</v>
      </c>
      <c r="I492" s="192" t="s">
        <v>601</v>
      </c>
      <c r="J492" s="192" t="s">
        <v>602</v>
      </c>
      <c r="K492" s="192" t="s">
        <v>603</v>
      </c>
      <c r="L492" s="192" t="s">
        <v>604</v>
      </c>
      <c r="M492" s="192" t="s">
        <v>605</v>
      </c>
      <c r="N492" s="192"/>
      <c r="O492" s="192"/>
      <c r="P492" s="192"/>
      <c r="Q492" s="192"/>
      <c r="R492" s="192" t="s">
        <v>606</v>
      </c>
    </row>
    <row r="493" spans="1:18" ht="13.15" customHeight="1" x14ac:dyDescent="0.25">
      <c r="A493" s="192" t="s">
        <v>1536</v>
      </c>
      <c r="B493" s="194"/>
      <c r="C493" s="192" t="s">
        <v>1563</v>
      </c>
      <c r="D493" s="192"/>
      <c r="E493" s="192"/>
      <c r="F493" s="193"/>
      <c r="G493" s="193"/>
      <c r="H493" s="192" t="s">
        <v>1564</v>
      </c>
      <c r="I493" s="192" t="s">
        <v>601</v>
      </c>
      <c r="J493" s="192" t="s">
        <v>602</v>
      </c>
      <c r="K493" s="192" t="s">
        <v>603</v>
      </c>
      <c r="L493" s="192" t="s">
        <v>604</v>
      </c>
      <c r="M493" s="192" t="s">
        <v>605</v>
      </c>
      <c r="N493" s="192"/>
      <c r="O493" s="192"/>
      <c r="P493" s="192"/>
      <c r="Q493" s="192"/>
      <c r="R493" s="192" t="s">
        <v>606</v>
      </c>
    </row>
    <row r="494" spans="1:18" ht="13.15" customHeight="1" x14ac:dyDescent="0.25">
      <c r="A494" s="192" t="s">
        <v>1008</v>
      </c>
      <c r="B494" s="194"/>
      <c r="C494" s="192" t="s">
        <v>1068</v>
      </c>
      <c r="D494" s="192"/>
      <c r="E494" s="192"/>
      <c r="F494" s="193"/>
      <c r="G494" s="193"/>
      <c r="H494" s="192" t="s">
        <v>1069</v>
      </c>
      <c r="I494" s="192" t="s">
        <v>601</v>
      </c>
      <c r="J494" s="192" t="s">
        <v>602</v>
      </c>
      <c r="K494" s="192" t="s">
        <v>603</v>
      </c>
      <c r="L494" s="192" t="s">
        <v>604</v>
      </c>
      <c r="M494" s="192" t="s">
        <v>605</v>
      </c>
      <c r="N494" s="192"/>
      <c r="O494" s="192"/>
      <c r="P494" s="192"/>
      <c r="Q494" s="192"/>
      <c r="R494" s="192" t="s">
        <v>1003</v>
      </c>
    </row>
    <row r="495" spans="1:18" ht="13.15" customHeight="1" x14ac:dyDescent="0.25">
      <c r="A495" s="192" t="s">
        <v>1008</v>
      </c>
      <c r="B495" s="194"/>
      <c r="C495" s="192" t="s">
        <v>1066</v>
      </c>
      <c r="D495" s="192"/>
      <c r="E495" s="192"/>
      <c r="F495" s="193"/>
      <c r="G495" s="193"/>
      <c r="H495" s="192" t="s">
        <v>1067</v>
      </c>
      <c r="I495" s="192" t="s">
        <v>601</v>
      </c>
      <c r="J495" s="192" t="s">
        <v>602</v>
      </c>
      <c r="K495" s="192" t="s">
        <v>603</v>
      </c>
      <c r="L495" s="192" t="s">
        <v>604</v>
      </c>
      <c r="M495" s="192" t="s">
        <v>605</v>
      </c>
      <c r="N495" s="192"/>
      <c r="O495" s="192"/>
      <c r="P495" s="192"/>
      <c r="Q495" s="192"/>
      <c r="R495" s="192" t="s">
        <v>606</v>
      </c>
    </row>
    <row r="496" spans="1:18" ht="13.15" customHeight="1" x14ac:dyDescent="0.25">
      <c r="A496" s="192" t="s">
        <v>1536</v>
      </c>
      <c r="B496" s="194"/>
      <c r="C496" s="192" t="s">
        <v>1561</v>
      </c>
      <c r="D496" s="192"/>
      <c r="E496" s="192"/>
      <c r="F496" s="193"/>
      <c r="G496" s="193"/>
      <c r="H496" s="192" t="s">
        <v>1562</v>
      </c>
      <c r="I496" s="192" t="s">
        <v>601</v>
      </c>
      <c r="J496" s="192" t="s">
        <v>602</v>
      </c>
      <c r="K496" s="192" t="s">
        <v>603</v>
      </c>
      <c r="L496" s="192" t="s">
        <v>604</v>
      </c>
      <c r="M496" s="192" t="s">
        <v>605</v>
      </c>
      <c r="N496" s="192"/>
      <c r="O496" s="192"/>
      <c r="P496" s="192"/>
      <c r="Q496" s="192"/>
      <c r="R496" s="192" t="s">
        <v>606</v>
      </c>
    </row>
    <row r="497" spans="1:18" ht="13.15" customHeight="1" x14ac:dyDescent="0.25">
      <c r="A497" s="192" t="s">
        <v>1536</v>
      </c>
      <c r="B497" s="192" t="s">
        <v>1559</v>
      </c>
      <c r="C497" s="192" t="s">
        <v>1558</v>
      </c>
      <c r="D497" s="192"/>
      <c r="E497" s="192"/>
      <c r="F497" s="193"/>
      <c r="G497" s="193"/>
      <c r="H497" s="192" t="s">
        <v>1560</v>
      </c>
      <c r="I497" s="192" t="s">
        <v>601</v>
      </c>
      <c r="J497" s="192" t="s">
        <v>602</v>
      </c>
      <c r="K497" s="192" t="s">
        <v>603</v>
      </c>
      <c r="L497" s="192" t="s">
        <v>604</v>
      </c>
      <c r="M497" s="192" t="s">
        <v>605</v>
      </c>
      <c r="N497" s="192"/>
      <c r="O497" s="192"/>
      <c r="P497" s="192"/>
      <c r="Q497" s="192"/>
      <c r="R497" s="192" t="s">
        <v>847</v>
      </c>
    </row>
    <row r="498" spans="1:18" ht="13.15" customHeight="1" x14ac:dyDescent="0.25">
      <c r="A498" s="192" t="s">
        <v>1536</v>
      </c>
      <c r="B498" s="194"/>
      <c r="C498" s="192" t="s">
        <v>1556</v>
      </c>
      <c r="D498" s="192"/>
      <c r="E498" s="192"/>
      <c r="F498" s="193"/>
      <c r="G498" s="193"/>
      <c r="H498" s="192" t="s">
        <v>1557</v>
      </c>
      <c r="I498" s="192" t="s">
        <v>601</v>
      </c>
      <c r="J498" s="192" t="s">
        <v>602</v>
      </c>
      <c r="K498" s="192" t="s">
        <v>1002</v>
      </c>
      <c r="L498" s="192" t="s">
        <v>604</v>
      </c>
      <c r="M498" s="192" t="s">
        <v>605</v>
      </c>
      <c r="N498" s="192" t="s">
        <v>1555</v>
      </c>
      <c r="O498" s="192"/>
      <c r="P498" s="192"/>
      <c r="Q498" s="192"/>
      <c r="R498" s="192" t="s">
        <v>606</v>
      </c>
    </row>
    <row r="499" spans="1:18" ht="13.15" customHeight="1" x14ac:dyDescent="0.25">
      <c r="A499" s="192" t="s">
        <v>1536</v>
      </c>
      <c r="B499" s="192" t="s">
        <v>1553</v>
      </c>
      <c r="C499" s="192" t="s">
        <v>1552</v>
      </c>
      <c r="D499" s="192"/>
      <c r="E499" s="192"/>
      <c r="F499" s="193"/>
      <c r="G499" s="193"/>
      <c r="H499" s="192" t="s">
        <v>1554</v>
      </c>
      <c r="I499" s="192" t="s">
        <v>601</v>
      </c>
      <c r="J499" s="192" t="s">
        <v>602</v>
      </c>
      <c r="K499" s="192" t="s">
        <v>603</v>
      </c>
      <c r="L499" s="192" t="s">
        <v>604</v>
      </c>
      <c r="M499" s="192" t="s">
        <v>605</v>
      </c>
      <c r="N499" s="192" t="s">
        <v>1555</v>
      </c>
      <c r="O499" s="192"/>
      <c r="P499" s="192"/>
      <c r="Q499" s="192"/>
      <c r="R499" s="192" t="s">
        <v>606</v>
      </c>
    </row>
    <row r="500" spans="1:18" ht="13.15" customHeight="1" x14ac:dyDescent="0.25">
      <c r="A500" s="192" t="s">
        <v>1008</v>
      </c>
      <c r="B500" s="194"/>
      <c r="C500" s="192" t="s">
        <v>1064</v>
      </c>
      <c r="D500" s="192"/>
      <c r="E500" s="192"/>
      <c r="F500" s="193"/>
      <c r="G500" s="193"/>
      <c r="H500" s="192" t="s">
        <v>1065</v>
      </c>
      <c r="I500" s="192" t="s">
        <v>601</v>
      </c>
      <c r="J500" s="192" t="s">
        <v>602</v>
      </c>
      <c r="K500" s="192" t="s">
        <v>603</v>
      </c>
      <c r="L500" s="192" t="s">
        <v>604</v>
      </c>
      <c r="M500" s="192" t="s">
        <v>605</v>
      </c>
      <c r="N500" s="192"/>
      <c r="O500" s="192"/>
      <c r="P500" s="192"/>
      <c r="Q500" s="192"/>
      <c r="R500" s="192" t="s">
        <v>606</v>
      </c>
    </row>
    <row r="501" spans="1:18" ht="13.15" customHeight="1" x14ac:dyDescent="0.25">
      <c r="A501" s="192" t="s">
        <v>1536</v>
      </c>
      <c r="B501" s="194"/>
      <c r="C501" s="192" t="s">
        <v>1550</v>
      </c>
      <c r="D501" s="192"/>
      <c r="E501" s="192"/>
      <c r="F501" s="193"/>
      <c r="G501" s="193"/>
      <c r="H501" s="192" t="s">
        <v>1551</v>
      </c>
      <c r="I501" s="192" t="s">
        <v>601</v>
      </c>
      <c r="J501" s="192" t="s">
        <v>602</v>
      </c>
      <c r="K501" s="192" t="s">
        <v>603</v>
      </c>
      <c r="L501" s="192" t="s">
        <v>604</v>
      </c>
      <c r="M501" s="192" t="s">
        <v>605</v>
      </c>
      <c r="N501" s="192"/>
      <c r="O501" s="192"/>
      <c r="P501" s="192"/>
      <c r="Q501" s="192"/>
      <c r="R501" s="192" t="s">
        <v>606</v>
      </c>
    </row>
    <row r="502" spans="1:18" ht="13.15" customHeight="1" x14ac:dyDescent="0.25">
      <c r="A502" s="192" t="s">
        <v>1008</v>
      </c>
      <c r="B502" s="194"/>
      <c r="C502" s="192" t="s">
        <v>1061</v>
      </c>
      <c r="D502" s="192"/>
      <c r="E502" s="192"/>
      <c r="F502" s="193"/>
      <c r="G502" s="193"/>
      <c r="H502" s="192" t="s">
        <v>1062</v>
      </c>
      <c r="I502" s="192" t="s">
        <v>601</v>
      </c>
      <c r="J502" s="192" t="s">
        <v>602</v>
      </c>
      <c r="K502" s="192" t="s">
        <v>1063</v>
      </c>
      <c r="L502" s="192" t="s">
        <v>604</v>
      </c>
      <c r="M502" s="192" t="s">
        <v>605</v>
      </c>
      <c r="N502" s="192"/>
      <c r="O502" s="192"/>
      <c r="P502" s="192"/>
      <c r="Q502" s="192"/>
      <c r="R502" s="192" t="s">
        <v>606</v>
      </c>
    </row>
    <row r="503" spans="1:18" ht="13.15" customHeight="1" x14ac:dyDescent="0.25">
      <c r="A503" s="192" t="s">
        <v>1536</v>
      </c>
      <c r="B503" s="194"/>
      <c r="C503" s="192" t="s">
        <v>1548</v>
      </c>
      <c r="D503" s="192"/>
      <c r="E503" s="192"/>
      <c r="F503" s="193"/>
      <c r="G503" s="193"/>
      <c r="H503" s="192" t="s">
        <v>1549</v>
      </c>
      <c r="I503" s="192" t="s">
        <v>601</v>
      </c>
      <c r="J503" s="192" t="s">
        <v>602</v>
      </c>
      <c r="K503" s="192" t="s">
        <v>603</v>
      </c>
      <c r="L503" s="192" t="s">
        <v>604</v>
      </c>
      <c r="M503" s="192" t="s">
        <v>605</v>
      </c>
      <c r="N503" s="192"/>
      <c r="O503" s="192"/>
      <c r="P503" s="192"/>
      <c r="Q503" s="192"/>
      <c r="R503" s="192" t="s">
        <v>606</v>
      </c>
    </row>
    <row r="504" spans="1:18" ht="13.15" customHeight="1" x14ac:dyDescent="0.25">
      <c r="A504" s="192" t="s">
        <v>1536</v>
      </c>
      <c r="B504" s="192" t="s">
        <v>305</v>
      </c>
      <c r="C504" s="192" t="s">
        <v>1545</v>
      </c>
      <c r="D504" s="192">
        <v>276.73</v>
      </c>
      <c r="E504" s="192">
        <v>394.4</v>
      </c>
      <c r="F504" s="193"/>
      <c r="G504" s="193"/>
      <c r="H504" s="192" t="s">
        <v>1546</v>
      </c>
      <c r="I504" s="192" t="s">
        <v>601</v>
      </c>
      <c r="J504" s="192" t="s">
        <v>602</v>
      </c>
      <c r="K504" s="192" t="s">
        <v>1547</v>
      </c>
      <c r="L504" s="192" t="s">
        <v>604</v>
      </c>
      <c r="M504" s="192" t="s">
        <v>605</v>
      </c>
      <c r="N504" s="192"/>
      <c r="O504" s="192"/>
      <c r="P504" s="192" t="s">
        <v>704</v>
      </c>
      <c r="Q504" s="192" t="s">
        <v>836</v>
      </c>
      <c r="R504" s="192" t="s">
        <v>606</v>
      </c>
    </row>
    <row r="505" spans="1:18" ht="13.15" customHeight="1" x14ac:dyDescent="0.25">
      <c r="A505" s="192" t="s">
        <v>597</v>
      </c>
      <c r="B505" s="192" t="s">
        <v>611</v>
      </c>
      <c r="C505" s="192" t="s">
        <v>610</v>
      </c>
      <c r="D505" s="192"/>
      <c r="E505" s="192"/>
      <c r="F505" s="193"/>
      <c r="G505" s="193"/>
      <c r="H505" s="192" t="s">
        <v>612</v>
      </c>
      <c r="I505" s="192" t="s">
        <v>601</v>
      </c>
      <c r="J505" s="192" t="s">
        <v>602</v>
      </c>
      <c r="K505" s="192" t="s">
        <v>603</v>
      </c>
      <c r="L505" s="192" t="s">
        <v>604</v>
      </c>
      <c r="M505" s="192" t="s">
        <v>605</v>
      </c>
      <c r="N505" s="192"/>
      <c r="O505" s="192"/>
      <c r="P505" s="192"/>
      <c r="Q505" s="192"/>
      <c r="R505" s="192" t="s">
        <v>606</v>
      </c>
    </row>
    <row r="506" spans="1:18" ht="13.15" customHeight="1" x14ac:dyDescent="0.25">
      <c r="A506" s="192" t="s">
        <v>1008</v>
      </c>
      <c r="B506" s="192" t="s">
        <v>363</v>
      </c>
      <c r="C506" s="192" t="s">
        <v>1054</v>
      </c>
      <c r="D506" s="192">
        <v>9202.91</v>
      </c>
      <c r="E506" s="192">
        <v>13115.99</v>
      </c>
      <c r="F506" s="193"/>
      <c r="G506" s="193"/>
      <c r="H506" s="192" t="s">
        <v>1055</v>
      </c>
      <c r="I506" s="192" t="s">
        <v>601</v>
      </c>
      <c r="J506" s="192" t="s">
        <v>602</v>
      </c>
      <c r="K506" s="192" t="s">
        <v>603</v>
      </c>
      <c r="L506" s="192" t="s">
        <v>604</v>
      </c>
      <c r="M506" s="192" t="s">
        <v>605</v>
      </c>
      <c r="N506" s="192"/>
      <c r="O506" s="192"/>
      <c r="P506" s="192"/>
      <c r="Q506" s="192"/>
      <c r="R506" s="192" t="s">
        <v>606</v>
      </c>
    </row>
    <row r="507" spans="1:18" ht="13.15" customHeight="1" x14ac:dyDescent="0.25">
      <c r="A507" s="192" t="s">
        <v>1008</v>
      </c>
      <c r="B507" s="192" t="s">
        <v>354</v>
      </c>
      <c r="C507" s="192" t="s">
        <v>1052</v>
      </c>
      <c r="D507" s="192">
        <v>9327.49</v>
      </c>
      <c r="E507" s="192">
        <v>13293.54</v>
      </c>
      <c r="F507" s="193"/>
      <c r="G507" s="193"/>
      <c r="H507" s="192" t="s">
        <v>1053</v>
      </c>
      <c r="I507" s="192" t="s">
        <v>601</v>
      </c>
      <c r="J507" s="192" t="s">
        <v>602</v>
      </c>
      <c r="K507" s="192" t="s">
        <v>603</v>
      </c>
      <c r="L507" s="192" t="s">
        <v>604</v>
      </c>
      <c r="M507" s="192" t="s">
        <v>605</v>
      </c>
      <c r="N507" s="192"/>
      <c r="O507" s="192"/>
      <c r="P507" s="192"/>
      <c r="Q507" s="192"/>
      <c r="R507" s="192" t="s">
        <v>606</v>
      </c>
    </row>
    <row r="508" spans="1:18" ht="13.15" customHeight="1" x14ac:dyDescent="0.25">
      <c r="A508" s="192" t="s">
        <v>1008</v>
      </c>
      <c r="B508" s="192" t="s">
        <v>208</v>
      </c>
      <c r="C508" s="192" t="s">
        <v>1050</v>
      </c>
      <c r="D508" s="192">
        <v>7007.88</v>
      </c>
      <c r="E508" s="192">
        <v>9987.6299999999992</v>
      </c>
      <c r="F508" s="193"/>
      <c r="G508" s="193"/>
      <c r="H508" s="192" t="s">
        <v>1051</v>
      </c>
      <c r="I508" s="192" t="s">
        <v>601</v>
      </c>
      <c r="J508" s="192" t="s">
        <v>602</v>
      </c>
      <c r="K508" s="192" t="s">
        <v>603</v>
      </c>
      <c r="L508" s="192" t="s">
        <v>604</v>
      </c>
      <c r="M508" s="192" t="s">
        <v>605</v>
      </c>
      <c r="N508" s="192"/>
      <c r="O508" s="192"/>
      <c r="P508" s="192" t="s">
        <v>704</v>
      </c>
      <c r="Q508" s="192" t="s">
        <v>1027</v>
      </c>
      <c r="R508" s="192" t="s">
        <v>606</v>
      </c>
    </row>
    <row r="509" spans="1:18" ht="13.15" customHeight="1" x14ac:dyDescent="0.25">
      <c r="A509" s="192" t="s">
        <v>1008</v>
      </c>
      <c r="B509" s="192" t="s">
        <v>368</v>
      </c>
      <c r="C509" s="192" t="s">
        <v>1048</v>
      </c>
      <c r="D509" s="192">
        <v>6098.89</v>
      </c>
      <c r="E509" s="192">
        <v>8692.14</v>
      </c>
      <c r="F509" s="193"/>
      <c r="G509" s="193"/>
      <c r="H509" s="192" t="s">
        <v>1049</v>
      </c>
      <c r="I509" s="192" t="s">
        <v>601</v>
      </c>
      <c r="J509" s="192" t="s">
        <v>602</v>
      </c>
      <c r="K509" s="192" t="s">
        <v>603</v>
      </c>
      <c r="L509" s="192" t="s">
        <v>604</v>
      </c>
      <c r="M509" s="192" t="s">
        <v>605</v>
      </c>
      <c r="N509" s="192"/>
      <c r="O509" s="192"/>
      <c r="P509" s="192"/>
      <c r="Q509" s="192"/>
      <c r="R509" s="192" t="s">
        <v>606</v>
      </c>
    </row>
    <row r="510" spans="1:18" ht="13.15" customHeight="1" x14ac:dyDescent="0.25">
      <c r="A510" s="192" t="s">
        <v>1008</v>
      </c>
      <c r="B510" s="192" t="s">
        <v>206</v>
      </c>
      <c r="C510" s="192" t="s">
        <v>1046</v>
      </c>
      <c r="D510" s="192">
        <v>5592.31</v>
      </c>
      <c r="E510" s="192">
        <v>7970.16</v>
      </c>
      <c r="F510" s="193"/>
      <c r="G510" s="193"/>
      <c r="H510" s="192" t="s">
        <v>1047</v>
      </c>
      <c r="I510" s="192" t="s">
        <v>601</v>
      </c>
      <c r="J510" s="192" t="s">
        <v>602</v>
      </c>
      <c r="K510" s="192" t="s">
        <v>603</v>
      </c>
      <c r="L510" s="192" t="s">
        <v>604</v>
      </c>
      <c r="M510" s="192" t="s">
        <v>605</v>
      </c>
      <c r="N510" s="192"/>
      <c r="O510" s="192"/>
      <c r="P510" s="192" t="s">
        <v>704</v>
      </c>
      <c r="Q510" s="192" t="s">
        <v>1027</v>
      </c>
      <c r="R510" s="192" t="s">
        <v>606</v>
      </c>
    </row>
    <row r="511" spans="1:18" ht="13.15" customHeight="1" x14ac:dyDescent="0.25">
      <c r="A511" s="192" t="s">
        <v>1008</v>
      </c>
      <c r="B511" s="192" t="s">
        <v>210</v>
      </c>
      <c r="C511" s="192" t="s">
        <v>1044</v>
      </c>
      <c r="D511" s="192">
        <v>8614.19</v>
      </c>
      <c r="E511" s="192">
        <v>12276.94</v>
      </c>
      <c r="F511" s="193"/>
      <c r="G511" s="193"/>
      <c r="H511" s="192" t="s">
        <v>1045</v>
      </c>
      <c r="I511" s="192" t="s">
        <v>601</v>
      </c>
      <c r="J511" s="192" t="s">
        <v>602</v>
      </c>
      <c r="K511" s="192" t="s">
        <v>603</v>
      </c>
      <c r="L511" s="192" t="s">
        <v>604</v>
      </c>
      <c r="M511" s="192" t="s">
        <v>605</v>
      </c>
      <c r="N511" s="192"/>
      <c r="O511" s="192"/>
      <c r="P511" s="192" t="s">
        <v>704</v>
      </c>
      <c r="Q511" s="192" t="s">
        <v>1027</v>
      </c>
      <c r="R511" s="192" t="s">
        <v>606</v>
      </c>
    </row>
    <row r="512" spans="1:18" ht="13.15" customHeight="1" x14ac:dyDescent="0.25">
      <c r="A512" s="192" t="s">
        <v>597</v>
      </c>
      <c r="B512" s="192" t="s">
        <v>608</v>
      </c>
      <c r="C512" s="192" t="s">
        <v>607</v>
      </c>
      <c r="D512" s="192"/>
      <c r="E512" s="192"/>
      <c r="F512" s="193"/>
      <c r="G512" s="193"/>
      <c r="H512" s="192" t="s">
        <v>609</v>
      </c>
      <c r="I512" s="192" t="s">
        <v>601</v>
      </c>
      <c r="J512" s="192" t="s">
        <v>602</v>
      </c>
      <c r="K512" s="192" t="s">
        <v>603</v>
      </c>
      <c r="L512" s="192" t="s">
        <v>604</v>
      </c>
      <c r="M512" s="192" t="s">
        <v>605</v>
      </c>
      <c r="N512" s="192"/>
      <c r="O512" s="192"/>
      <c r="P512" s="192"/>
      <c r="Q512" s="192"/>
      <c r="R512" s="192" t="s">
        <v>606</v>
      </c>
    </row>
    <row r="513" spans="1:18" ht="13.15" customHeight="1" x14ac:dyDescent="0.25">
      <c r="A513" s="192" t="s">
        <v>1008</v>
      </c>
      <c r="B513" s="192" t="s">
        <v>1042</v>
      </c>
      <c r="C513" s="192" t="s">
        <v>1041</v>
      </c>
      <c r="D513" s="192">
        <v>766.77</v>
      </c>
      <c r="E513" s="192">
        <v>1092.8</v>
      </c>
      <c r="F513" s="193"/>
      <c r="G513" s="193"/>
      <c r="H513" s="192" t="s">
        <v>1043</v>
      </c>
      <c r="I513" s="192" t="s">
        <v>601</v>
      </c>
      <c r="J513" s="192" t="s">
        <v>602</v>
      </c>
      <c r="K513" s="192" t="s">
        <v>603</v>
      </c>
      <c r="L513" s="192" t="s">
        <v>604</v>
      </c>
      <c r="M513" s="192" t="s">
        <v>605</v>
      </c>
      <c r="N513" s="192"/>
      <c r="O513" s="192"/>
      <c r="P513" s="192"/>
      <c r="Q513" s="192"/>
      <c r="R513" s="192" t="s">
        <v>606</v>
      </c>
    </row>
    <row r="514" spans="1:18" ht="13.15" customHeight="1" x14ac:dyDescent="0.25">
      <c r="A514" s="192" t="s">
        <v>1249</v>
      </c>
      <c r="B514" s="192" t="s">
        <v>412</v>
      </c>
      <c r="C514" s="192" t="s">
        <v>1250</v>
      </c>
      <c r="D514" s="192">
        <v>6749.35</v>
      </c>
      <c r="E514" s="192">
        <v>9619.17</v>
      </c>
      <c r="F514" s="193"/>
      <c r="G514" s="193"/>
      <c r="H514" s="192" t="s">
        <v>1251</v>
      </c>
      <c r="I514" s="192" t="s">
        <v>601</v>
      </c>
      <c r="J514" s="192" t="s">
        <v>602</v>
      </c>
      <c r="K514" s="192" t="s">
        <v>603</v>
      </c>
      <c r="L514" s="192" t="s">
        <v>604</v>
      </c>
      <c r="M514" s="192" t="s">
        <v>605</v>
      </c>
      <c r="N514" s="192"/>
      <c r="O514" s="192"/>
      <c r="P514" s="192"/>
      <c r="Q514" s="192"/>
      <c r="R514" s="192" t="s">
        <v>606</v>
      </c>
    </row>
    <row r="515" spans="1:18" ht="13.15" customHeight="1" x14ac:dyDescent="0.25">
      <c r="A515" s="192" t="s">
        <v>1008</v>
      </c>
      <c r="B515" s="194"/>
      <c r="C515" s="192" t="s">
        <v>1039</v>
      </c>
      <c r="D515" s="192"/>
      <c r="E515" s="192"/>
      <c r="F515" s="193"/>
      <c r="G515" s="193"/>
      <c r="H515" s="192" t="s">
        <v>1040</v>
      </c>
      <c r="I515" s="192" t="s">
        <v>601</v>
      </c>
      <c r="J515" s="192" t="s">
        <v>602</v>
      </c>
      <c r="K515" s="192" t="s">
        <v>603</v>
      </c>
      <c r="L515" s="192" t="s">
        <v>604</v>
      </c>
      <c r="M515" s="192" t="s">
        <v>605</v>
      </c>
      <c r="N515" s="192"/>
      <c r="O515" s="192"/>
      <c r="P515" s="192"/>
      <c r="Q515" s="192"/>
      <c r="R515" s="192" t="s">
        <v>606</v>
      </c>
    </row>
    <row r="516" spans="1:18" ht="13.15" customHeight="1" x14ac:dyDescent="0.25">
      <c r="A516" s="192" t="s">
        <v>1008</v>
      </c>
      <c r="B516" s="194"/>
      <c r="C516" s="192" t="s">
        <v>1037</v>
      </c>
      <c r="D516" s="192"/>
      <c r="E516" s="192"/>
      <c r="F516" s="193"/>
      <c r="G516" s="193"/>
      <c r="H516" s="192" t="s">
        <v>1038</v>
      </c>
      <c r="I516" s="192" t="s">
        <v>601</v>
      </c>
      <c r="J516" s="192" t="s">
        <v>602</v>
      </c>
      <c r="K516" s="192" t="s">
        <v>603</v>
      </c>
      <c r="L516" s="192" t="s">
        <v>604</v>
      </c>
      <c r="M516" s="192" t="s">
        <v>605</v>
      </c>
      <c r="N516" s="192"/>
      <c r="O516" s="192"/>
      <c r="P516" s="192"/>
      <c r="Q516" s="192"/>
      <c r="R516" s="192" t="s">
        <v>606</v>
      </c>
    </row>
    <row r="517" spans="1:18" ht="13.15" customHeight="1" x14ac:dyDescent="0.25">
      <c r="A517" s="192" t="s">
        <v>1008</v>
      </c>
      <c r="B517" s="194"/>
      <c r="C517" s="192" t="s">
        <v>1035</v>
      </c>
      <c r="D517" s="192"/>
      <c r="E517" s="192"/>
      <c r="F517" s="193"/>
      <c r="G517" s="193"/>
      <c r="H517" s="192" t="s">
        <v>1036</v>
      </c>
      <c r="I517" s="192" t="s">
        <v>601</v>
      </c>
      <c r="J517" s="192" t="s">
        <v>602</v>
      </c>
      <c r="K517" s="192" t="s">
        <v>603</v>
      </c>
      <c r="L517" s="192" t="s">
        <v>604</v>
      </c>
      <c r="M517" s="192" t="s">
        <v>605</v>
      </c>
      <c r="N517" s="192"/>
      <c r="O517" s="192"/>
      <c r="P517" s="192"/>
      <c r="Q517" s="192"/>
      <c r="R517" s="192" t="s">
        <v>1003</v>
      </c>
    </row>
    <row r="518" spans="1:18" ht="13.15" customHeight="1" x14ac:dyDescent="0.25">
      <c r="A518" s="192" t="s">
        <v>1008</v>
      </c>
      <c r="B518" s="194"/>
      <c r="C518" s="192" t="s">
        <v>1059</v>
      </c>
      <c r="D518" s="192"/>
      <c r="E518" s="192"/>
      <c r="F518" s="193"/>
      <c r="G518" s="193"/>
      <c r="H518" s="192" t="s">
        <v>1060</v>
      </c>
      <c r="I518" s="192" t="s">
        <v>601</v>
      </c>
      <c r="J518" s="192" t="s">
        <v>602</v>
      </c>
      <c r="K518" s="192" t="s">
        <v>603</v>
      </c>
      <c r="L518" s="192" t="s">
        <v>604</v>
      </c>
      <c r="M518" s="192" t="s">
        <v>605</v>
      </c>
      <c r="N518" s="192"/>
      <c r="O518" s="192"/>
      <c r="P518" s="192"/>
      <c r="Q518" s="192"/>
      <c r="R518" s="192" t="s">
        <v>606</v>
      </c>
    </row>
    <row r="519" spans="1:18" ht="13.15" customHeight="1" x14ac:dyDescent="0.25">
      <c r="A519" s="192" t="s">
        <v>1008</v>
      </c>
      <c r="B519" s="192" t="s">
        <v>372</v>
      </c>
      <c r="C519" s="192" t="s">
        <v>1033</v>
      </c>
      <c r="D519" s="192">
        <v>10974.04</v>
      </c>
      <c r="E519" s="192">
        <v>15640.2</v>
      </c>
      <c r="F519" s="193"/>
      <c r="G519" s="193"/>
      <c r="H519" s="192" t="s">
        <v>1034</v>
      </c>
      <c r="I519" s="192" t="s">
        <v>601</v>
      </c>
      <c r="J519" s="192" t="s">
        <v>602</v>
      </c>
      <c r="K519" s="192" t="s">
        <v>603</v>
      </c>
      <c r="L519" s="192" t="s">
        <v>604</v>
      </c>
      <c r="M519" s="192" t="s">
        <v>605</v>
      </c>
      <c r="N519" s="192"/>
      <c r="O519" s="192"/>
      <c r="P519" s="192"/>
      <c r="Q519" s="192"/>
      <c r="R519" s="192" t="s">
        <v>606</v>
      </c>
    </row>
    <row r="520" spans="1:18" ht="13.15" customHeight="1" x14ac:dyDescent="0.25">
      <c r="A520" s="192" t="s">
        <v>833</v>
      </c>
      <c r="B520" s="192" t="s">
        <v>841</v>
      </c>
      <c r="C520" s="192" t="s">
        <v>840</v>
      </c>
      <c r="D520" s="192"/>
      <c r="E520" s="192"/>
      <c r="F520" s="193"/>
      <c r="G520" s="193"/>
      <c r="H520" s="192" t="s">
        <v>842</v>
      </c>
      <c r="I520" s="192" t="s">
        <v>601</v>
      </c>
      <c r="J520" s="192" t="s">
        <v>602</v>
      </c>
      <c r="K520" s="192" t="s">
        <v>603</v>
      </c>
      <c r="L520" s="192" t="s">
        <v>604</v>
      </c>
      <c r="M520" s="192" t="s">
        <v>605</v>
      </c>
      <c r="N520" s="192" t="s">
        <v>623</v>
      </c>
      <c r="O520" s="192"/>
      <c r="P520" s="192"/>
      <c r="Q520" s="192"/>
      <c r="R520" s="192" t="s">
        <v>606</v>
      </c>
    </row>
    <row r="521" spans="1:18" ht="13.15" customHeight="1" x14ac:dyDescent="0.25">
      <c r="A521" s="192" t="s">
        <v>597</v>
      </c>
      <c r="B521" s="192" t="s">
        <v>599</v>
      </c>
      <c r="C521" s="192" t="s">
        <v>598</v>
      </c>
      <c r="D521" s="192"/>
      <c r="E521" s="192"/>
      <c r="F521" s="193"/>
      <c r="G521" s="193"/>
      <c r="H521" s="192" t="s">
        <v>600</v>
      </c>
      <c r="I521" s="192" t="s">
        <v>601</v>
      </c>
      <c r="J521" s="192" t="s">
        <v>602</v>
      </c>
      <c r="K521" s="192" t="s">
        <v>603</v>
      </c>
      <c r="L521" s="192" t="s">
        <v>604</v>
      </c>
      <c r="M521" s="192" t="s">
        <v>605</v>
      </c>
      <c r="N521" s="192"/>
      <c r="O521" s="192"/>
      <c r="P521" s="192"/>
      <c r="Q521" s="192"/>
      <c r="R521" s="192" t="s">
        <v>606</v>
      </c>
    </row>
    <row r="522" spans="1:18" ht="13.15" customHeight="1" x14ac:dyDescent="0.25">
      <c r="A522" s="192" t="s">
        <v>1008</v>
      </c>
      <c r="B522" s="192" t="s">
        <v>473</v>
      </c>
      <c r="C522" s="192" t="s">
        <v>1031</v>
      </c>
      <c r="D522" s="192">
        <v>5785.51</v>
      </c>
      <c r="E522" s="192">
        <v>8245.51</v>
      </c>
      <c r="F522" s="193"/>
      <c r="G522" s="193"/>
      <c r="H522" s="192" t="s">
        <v>1032</v>
      </c>
      <c r="I522" s="192" t="s">
        <v>601</v>
      </c>
      <c r="J522" s="192" t="s">
        <v>602</v>
      </c>
      <c r="K522" s="192" t="s">
        <v>603</v>
      </c>
      <c r="L522" s="192" t="s">
        <v>604</v>
      </c>
      <c r="M522" s="192" t="s">
        <v>605</v>
      </c>
      <c r="N522" s="192"/>
      <c r="O522" s="192"/>
      <c r="P522" s="192"/>
      <c r="Q522" s="192"/>
      <c r="R522" s="192" t="s">
        <v>606</v>
      </c>
    </row>
    <row r="523" spans="1:18" ht="13.15" customHeight="1" x14ac:dyDescent="0.25">
      <c r="A523" s="192" t="s">
        <v>1008</v>
      </c>
      <c r="B523" s="192" t="s">
        <v>1029</v>
      </c>
      <c r="C523" s="192" t="s">
        <v>1028</v>
      </c>
      <c r="D523" s="192">
        <v>738.66</v>
      </c>
      <c r="E523" s="192">
        <v>1052.74</v>
      </c>
      <c r="F523" s="193"/>
      <c r="G523" s="193"/>
      <c r="H523" s="192" t="s">
        <v>1030</v>
      </c>
      <c r="I523" s="192" t="s">
        <v>601</v>
      </c>
      <c r="J523" s="192" t="s">
        <v>602</v>
      </c>
      <c r="K523" s="192" t="s">
        <v>603</v>
      </c>
      <c r="L523" s="192" t="s">
        <v>604</v>
      </c>
      <c r="M523" s="192" t="s">
        <v>605</v>
      </c>
      <c r="N523" s="192"/>
      <c r="O523" s="192"/>
      <c r="P523" s="192"/>
      <c r="Q523" s="192"/>
      <c r="R523" s="192" t="s">
        <v>606</v>
      </c>
    </row>
    <row r="524" spans="1:18" ht="13.15" customHeight="1" x14ac:dyDescent="0.25">
      <c r="A524" s="192" t="s">
        <v>1008</v>
      </c>
      <c r="B524" s="192" t="s">
        <v>353</v>
      </c>
      <c r="C524" s="192" t="s">
        <v>1025</v>
      </c>
      <c r="D524" s="192">
        <v>9260.7900000000009</v>
      </c>
      <c r="E524" s="192">
        <v>13198.48</v>
      </c>
      <c r="F524" s="193"/>
      <c r="G524" s="193"/>
      <c r="H524" s="192" t="s">
        <v>1026</v>
      </c>
      <c r="I524" s="192" t="s">
        <v>601</v>
      </c>
      <c r="J524" s="192" t="s">
        <v>602</v>
      </c>
      <c r="K524" s="192" t="s">
        <v>603</v>
      </c>
      <c r="L524" s="192" t="s">
        <v>604</v>
      </c>
      <c r="M524" s="192" t="s">
        <v>605</v>
      </c>
      <c r="N524" s="192"/>
      <c r="O524" s="192"/>
      <c r="P524" s="192"/>
      <c r="Q524" s="192" t="s">
        <v>1027</v>
      </c>
      <c r="R524" s="192" t="s">
        <v>606</v>
      </c>
    </row>
    <row r="525" spans="1:18" ht="13.15" customHeight="1" x14ac:dyDescent="0.25">
      <c r="A525" s="192" t="s">
        <v>833</v>
      </c>
      <c r="B525" s="192" t="s">
        <v>838</v>
      </c>
      <c r="C525" s="192" t="s">
        <v>837</v>
      </c>
      <c r="D525" s="192">
        <v>2789.82</v>
      </c>
      <c r="E525" s="192">
        <v>3976.05</v>
      </c>
      <c r="F525" s="193"/>
      <c r="G525" s="193"/>
      <c r="H525" s="192" t="s">
        <v>839</v>
      </c>
      <c r="I525" s="192" t="s">
        <v>601</v>
      </c>
      <c r="J525" s="192" t="s">
        <v>602</v>
      </c>
      <c r="K525" s="192" t="s">
        <v>603</v>
      </c>
      <c r="L525" s="192" t="s">
        <v>604</v>
      </c>
      <c r="M525" s="192" t="s">
        <v>605</v>
      </c>
      <c r="N525" s="192"/>
      <c r="O525" s="192"/>
      <c r="P525" s="192"/>
      <c r="Q525" s="192"/>
      <c r="R525" s="192" t="s">
        <v>606</v>
      </c>
    </row>
    <row r="526" spans="1:18" ht="13.15" customHeight="1" x14ac:dyDescent="0.25">
      <c r="A526" s="192" t="s">
        <v>1008</v>
      </c>
      <c r="B526" s="194"/>
      <c r="C526" s="192" t="s">
        <v>1021</v>
      </c>
      <c r="D526" s="192"/>
      <c r="E526" s="192"/>
      <c r="F526" s="193"/>
      <c r="G526" s="193"/>
      <c r="H526" s="192" t="s">
        <v>1022</v>
      </c>
      <c r="I526" s="192" t="s">
        <v>601</v>
      </c>
      <c r="J526" s="192" t="s">
        <v>602</v>
      </c>
      <c r="K526" s="192" t="s">
        <v>603</v>
      </c>
      <c r="L526" s="192" t="s">
        <v>604</v>
      </c>
      <c r="M526" s="192" t="s">
        <v>605</v>
      </c>
      <c r="N526" s="192"/>
      <c r="O526" s="192"/>
      <c r="P526" s="192"/>
      <c r="Q526" s="192"/>
      <c r="R526" s="192" t="s">
        <v>606</v>
      </c>
    </row>
    <row r="527" spans="1:18" ht="13.15" customHeight="1" x14ac:dyDescent="0.25">
      <c r="A527" s="192" t="s">
        <v>1008</v>
      </c>
      <c r="B527" s="192" t="s">
        <v>181</v>
      </c>
      <c r="C527" s="192" t="s">
        <v>1019</v>
      </c>
      <c r="D527" s="192">
        <v>6922.45</v>
      </c>
      <c r="E527" s="192">
        <v>9865.8799999999992</v>
      </c>
      <c r="F527" s="193"/>
      <c r="G527" s="193"/>
      <c r="H527" s="192" t="s">
        <v>1020</v>
      </c>
      <c r="I527" s="192" t="s">
        <v>601</v>
      </c>
      <c r="J527" s="192" t="s">
        <v>602</v>
      </c>
      <c r="K527" s="192" t="s">
        <v>603</v>
      </c>
      <c r="L527" s="192" t="s">
        <v>604</v>
      </c>
      <c r="M527" s="192" t="s">
        <v>605</v>
      </c>
      <c r="N527" s="192"/>
      <c r="O527" s="192"/>
      <c r="P527" s="192" t="s">
        <v>704</v>
      </c>
      <c r="Q527" s="192" t="s">
        <v>1016</v>
      </c>
      <c r="R527" s="192" t="s">
        <v>606</v>
      </c>
    </row>
    <row r="528" spans="1:18" ht="13.15" customHeight="1" x14ac:dyDescent="0.25">
      <c r="A528" s="192" t="s">
        <v>1008</v>
      </c>
      <c r="B528" s="192" t="s">
        <v>395</v>
      </c>
      <c r="C528" s="192" t="s">
        <v>1017</v>
      </c>
      <c r="D528" s="192">
        <v>2301.41</v>
      </c>
      <c r="E528" s="192">
        <v>3279.97</v>
      </c>
      <c r="F528" s="193"/>
      <c r="G528" s="193"/>
      <c r="H528" s="192" t="s">
        <v>1018</v>
      </c>
      <c r="I528" s="192" t="s">
        <v>601</v>
      </c>
      <c r="J528" s="192" t="s">
        <v>602</v>
      </c>
      <c r="K528" s="192" t="s">
        <v>603</v>
      </c>
      <c r="L528" s="192" t="s">
        <v>604</v>
      </c>
      <c r="M528" s="192" t="s">
        <v>605</v>
      </c>
      <c r="N528" s="192"/>
      <c r="O528" s="192"/>
      <c r="P528" s="192"/>
      <c r="Q528" s="192"/>
      <c r="R528" s="192" t="s">
        <v>606</v>
      </c>
    </row>
    <row r="529" spans="1:18" ht="13.15" customHeight="1" x14ac:dyDescent="0.25">
      <c r="A529" s="192" t="s">
        <v>833</v>
      </c>
      <c r="B529" s="192" t="s">
        <v>310</v>
      </c>
      <c r="C529" s="192" t="s">
        <v>834</v>
      </c>
      <c r="D529" s="192">
        <v>3697.15</v>
      </c>
      <c r="E529" s="192">
        <v>5269.18</v>
      </c>
      <c r="F529" s="193"/>
      <c r="G529" s="193"/>
      <c r="H529" s="192" t="s">
        <v>835</v>
      </c>
      <c r="I529" s="192" t="s">
        <v>601</v>
      </c>
      <c r="J529" s="192" t="s">
        <v>602</v>
      </c>
      <c r="K529" s="192" t="s">
        <v>603</v>
      </c>
      <c r="L529" s="192" t="s">
        <v>604</v>
      </c>
      <c r="M529" s="192" t="s">
        <v>605</v>
      </c>
      <c r="N529" s="192"/>
      <c r="O529" s="192"/>
      <c r="P529" s="192" t="s">
        <v>704</v>
      </c>
      <c r="Q529" s="192" t="s">
        <v>836</v>
      </c>
      <c r="R529" s="192" t="s">
        <v>606</v>
      </c>
    </row>
    <row r="530" spans="1:18" ht="13.15" customHeight="1" x14ac:dyDescent="0.25">
      <c r="A530" s="192" t="s">
        <v>1536</v>
      </c>
      <c r="B530" s="192" t="s">
        <v>1543</v>
      </c>
      <c r="C530" s="192" t="s">
        <v>1542</v>
      </c>
      <c r="D530" s="192">
        <v>35.28</v>
      </c>
      <c r="E530" s="192">
        <v>50.28</v>
      </c>
      <c r="F530" s="193"/>
      <c r="G530" s="193"/>
      <c r="H530" s="192" t="s">
        <v>1544</v>
      </c>
      <c r="I530" s="192" t="s">
        <v>601</v>
      </c>
      <c r="J530" s="192" t="s">
        <v>602</v>
      </c>
      <c r="K530" s="192" t="s">
        <v>603</v>
      </c>
      <c r="L530" s="192" t="s">
        <v>604</v>
      </c>
      <c r="M530" s="192" t="s">
        <v>605</v>
      </c>
      <c r="N530" s="192"/>
      <c r="O530" s="192"/>
      <c r="P530" s="192"/>
      <c r="Q530" s="192"/>
      <c r="R530" s="192" t="s">
        <v>606</v>
      </c>
    </row>
    <row r="531" spans="1:18" ht="13.15" customHeight="1" x14ac:dyDescent="0.25">
      <c r="A531" s="192" t="s">
        <v>1008</v>
      </c>
      <c r="B531" s="192" t="s">
        <v>165</v>
      </c>
      <c r="C531" s="192" t="s">
        <v>1023</v>
      </c>
      <c r="D531" s="192">
        <v>1168.07</v>
      </c>
      <c r="E531" s="192">
        <v>1664.73</v>
      </c>
      <c r="F531" s="193"/>
      <c r="G531" s="193"/>
      <c r="H531" s="192" t="s">
        <v>1024</v>
      </c>
      <c r="I531" s="192" t="s">
        <v>601</v>
      </c>
      <c r="J531" s="192" t="s">
        <v>602</v>
      </c>
      <c r="K531" s="192" t="s">
        <v>603</v>
      </c>
      <c r="L531" s="192" t="s">
        <v>604</v>
      </c>
      <c r="M531" s="192" t="s">
        <v>605</v>
      </c>
      <c r="N531" s="192"/>
      <c r="O531" s="192"/>
      <c r="P531" s="192" t="s">
        <v>704</v>
      </c>
      <c r="Q531" s="192" t="s">
        <v>1016</v>
      </c>
      <c r="R531" s="192" t="s">
        <v>606</v>
      </c>
    </row>
    <row r="532" spans="1:18" ht="13.15" customHeight="1" x14ac:dyDescent="0.25">
      <c r="A532" s="192" t="s">
        <v>1008</v>
      </c>
      <c r="B532" s="192" t="s">
        <v>439</v>
      </c>
      <c r="C532" s="192" t="s">
        <v>1056</v>
      </c>
      <c r="D532" s="192">
        <v>4633.71</v>
      </c>
      <c r="E532" s="192">
        <v>6603.96</v>
      </c>
      <c r="F532" s="193"/>
      <c r="G532" s="193"/>
      <c r="H532" s="192" t="s">
        <v>1057</v>
      </c>
      <c r="I532" s="192" t="s">
        <v>601</v>
      </c>
      <c r="J532" s="192" t="s">
        <v>602</v>
      </c>
      <c r="K532" s="192" t="s">
        <v>603</v>
      </c>
      <c r="L532" s="192" t="s">
        <v>604</v>
      </c>
      <c r="M532" s="192" t="s">
        <v>605</v>
      </c>
      <c r="N532" s="192"/>
      <c r="O532" s="192"/>
      <c r="P532" s="192"/>
      <c r="Q532" s="192" t="s">
        <v>1058</v>
      </c>
      <c r="R532" s="192" t="s">
        <v>606</v>
      </c>
    </row>
    <row r="533" spans="1:18" ht="13.15" customHeight="1" x14ac:dyDescent="0.25">
      <c r="A533" s="192" t="s">
        <v>1536</v>
      </c>
      <c r="B533" s="192" t="s">
        <v>287</v>
      </c>
      <c r="C533" s="192" t="s">
        <v>1846</v>
      </c>
      <c r="D533" s="192">
        <v>151.59</v>
      </c>
      <c r="E533" s="192">
        <v>216.05</v>
      </c>
      <c r="F533" s="193"/>
      <c r="G533" s="193"/>
      <c r="H533" s="192" t="s">
        <v>1847</v>
      </c>
      <c r="I533" s="192" t="s">
        <v>601</v>
      </c>
      <c r="J533" s="192" t="s">
        <v>602</v>
      </c>
      <c r="K533" s="192" t="s">
        <v>603</v>
      </c>
      <c r="L533" s="192" t="s">
        <v>604</v>
      </c>
      <c r="M533" s="192" t="s">
        <v>605</v>
      </c>
      <c r="N533" s="192"/>
      <c r="O533" s="192"/>
      <c r="P533" s="192" t="s">
        <v>704</v>
      </c>
      <c r="Q533" s="192" t="s">
        <v>1013</v>
      </c>
      <c r="R533" s="192" t="s">
        <v>606</v>
      </c>
    </row>
    <row r="534" spans="1:18" ht="13.15" customHeight="1" x14ac:dyDescent="0.25">
      <c r="A534" s="192" t="s">
        <v>1008</v>
      </c>
      <c r="B534" s="192" t="s">
        <v>169</v>
      </c>
      <c r="C534" s="192" t="s">
        <v>1206</v>
      </c>
      <c r="D534" s="192">
        <v>4275.3999999999996</v>
      </c>
      <c r="E534" s="192">
        <v>6093.3</v>
      </c>
      <c r="F534" s="193"/>
      <c r="G534" s="193"/>
      <c r="H534" s="192" t="s">
        <v>1207</v>
      </c>
      <c r="I534" s="192" t="s">
        <v>601</v>
      </c>
      <c r="J534" s="192" t="s">
        <v>602</v>
      </c>
      <c r="K534" s="192" t="s">
        <v>603</v>
      </c>
      <c r="L534" s="192" t="s">
        <v>604</v>
      </c>
      <c r="M534" s="192" t="s">
        <v>605</v>
      </c>
      <c r="N534" s="192"/>
      <c r="O534" s="192"/>
      <c r="P534" s="192"/>
      <c r="Q534" s="192"/>
      <c r="R534" s="192" t="s">
        <v>606</v>
      </c>
    </row>
    <row r="535" spans="1:18" ht="13.15" customHeight="1" x14ac:dyDescent="0.25">
      <c r="A535" s="192" t="s">
        <v>1008</v>
      </c>
      <c r="B535" s="192" t="s">
        <v>1214</v>
      </c>
      <c r="C535" s="192" t="s">
        <v>1213</v>
      </c>
      <c r="D535" s="192"/>
      <c r="E535" s="192"/>
      <c r="F535" s="193"/>
      <c r="G535" s="193"/>
      <c r="H535" s="192" t="s">
        <v>1212</v>
      </c>
      <c r="I535" s="195" t="s">
        <v>622</v>
      </c>
      <c r="J535" s="192" t="s">
        <v>602</v>
      </c>
      <c r="K535" s="192" t="s">
        <v>603</v>
      </c>
      <c r="L535" s="192" t="s">
        <v>604</v>
      </c>
      <c r="M535" s="192" t="s">
        <v>605</v>
      </c>
      <c r="N535" s="192"/>
      <c r="O535" s="192"/>
      <c r="P535" s="192"/>
      <c r="Q535" s="192"/>
      <c r="R535" s="192" t="s">
        <v>606</v>
      </c>
    </row>
    <row r="536" spans="1:18" ht="13.15" customHeight="1" x14ac:dyDescent="0.25">
      <c r="A536" s="192" t="s">
        <v>1249</v>
      </c>
      <c r="B536" s="194"/>
      <c r="C536" s="192" t="s">
        <v>1336</v>
      </c>
      <c r="D536" s="192"/>
      <c r="E536" s="192"/>
      <c r="F536" s="193"/>
      <c r="G536" s="193"/>
      <c r="H536" s="192" t="s">
        <v>1337</v>
      </c>
      <c r="I536" s="195" t="s">
        <v>622</v>
      </c>
      <c r="J536" s="192" t="s">
        <v>602</v>
      </c>
      <c r="K536" s="192" t="s">
        <v>603</v>
      </c>
      <c r="L536" s="192" t="s">
        <v>604</v>
      </c>
      <c r="M536" s="192" t="s">
        <v>605</v>
      </c>
      <c r="N536" s="192"/>
      <c r="O536" s="192"/>
      <c r="P536" s="192"/>
      <c r="Q536" s="192"/>
      <c r="R536" s="192" t="s">
        <v>606</v>
      </c>
    </row>
    <row r="537" spans="1:18" ht="13.15" customHeight="1" x14ac:dyDescent="0.25">
      <c r="A537" s="192" t="s">
        <v>1249</v>
      </c>
      <c r="B537" s="194"/>
      <c r="C537" s="192" t="s">
        <v>1335</v>
      </c>
      <c r="D537" s="192"/>
      <c r="E537" s="192"/>
      <c r="F537" s="193"/>
      <c r="G537" s="193"/>
      <c r="H537" s="192" t="s">
        <v>1275</v>
      </c>
      <c r="I537" s="195" t="s">
        <v>622</v>
      </c>
      <c r="J537" s="192" t="s">
        <v>602</v>
      </c>
      <c r="K537" s="192" t="s">
        <v>603</v>
      </c>
      <c r="L537" s="192" t="s">
        <v>604</v>
      </c>
      <c r="M537" s="192" t="s">
        <v>605</v>
      </c>
      <c r="N537" s="192"/>
      <c r="O537" s="192"/>
      <c r="P537" s="192"/>
      <c r="Q537" s="192"/>
      <c r="R537" s="192" t="s">
        <v>606</v>
      </c>
    </row>
    <row r="538" spans="1:18" ht="13.15" customHeight="1" x14ac:dyDescent="0.25">
      <c r="A538" s="192" t="s">
        <v>1008</v>
      </c>
      <c r="B538" s="192" t="s">
        <v>1211</v>
      </c>
      <c r="C538" s="192" t="s">
        <v>1210</v>
      </c>
      <c r="D538" s="192"/>
      <c r="E538" s="192"/>
      <c r="F538" s="193"/>
      <c r="G538" s="193"/>
      <c r="H538" s="192" t="s">
        <v>1212</v>
      </c>
      <c r="I538" s="195" t="s">
        <v>622</v>
      </c>
      <c r="J538" s="192" t="s">
        <v>602</v>
      </c>
      <c r="K538" s="192" t="s">
        <v>603</v>
      </c>
      <c r="L538" s="192" t="s">
        <v>604</v>
      </c>
      <c r="M538" s="192" t="s">
        <v>605</v>
      </c>
      <c r="N538" s="192"/>
      <c r="O538" s="192"/>
      <c r="P538" s="192"/>
      <c r="Q538" s="192"/>
      <c r="R538" s="192" t="s">
        <v>606</v>
      </c>
    </row>
    <row r="539" spans="1:18" ht="13.15" customHeight="1" x14ac:dyDescent="0.25">
      <c r="A539" s="192" t="s">
        <v>1249</v>
      </c>
      <c r="B539" s="194"/>
      <c r="C539" s="192" t="s">
        <v>1333</v>
      </c>
      <c r="D539" s="192"/>
      <c r="E539" s="192"/>
      <c r="F539" s="193"/>
      <c r="G539" s="193"/>
      <c r="H539" s="192" t="s">
        <v>1334</v>
      </c>
      <c r="I539" s="195" t="s">
        <v>622</v>
      </c>
      <c r="J539" s="192" t="s">
        <v>602</v>
      </c>
      <c r="K539" s="192" t="s">
        <v>603</v>
      </c>
      <c r="L539" s="192" t="s">
        <v>604</v>
      </c>
      <c r="M539" s="192" t="s">
        <v>605</v>
      </c>
      <c r="N539" s="192"/>
      <c r="O539" s="192"/>
      <c r="P539" s="192"/>
      <c r="Q539" s="192"/>
      <c r="R539" s="192"/>
    </row>
    <row r="540" spans="1:18" ht="13.15" customHeight="1" x14ac:dyDescent="0.25">
      <c r="A540" s="192" t="s">
        <v>1008</v>
      </c>
      <c r="B540" s="194"/>
      <c r="C540" s="192" t="s">
        <v>1208</v>
      </c>
      <c r="D540" s="192"/>
      <c r="E540" s="192"/>
      <c r="F540" s="193"/>
      <c r="G540" s="193"/>
      <c r="H540" s="192" t="s">
        <v>1209</v>
      </c>
      <c r="I540" s="195" t="s">
        <v>622</v>
      </c>
      <c r="J540" s="192" t="s">
        <v>602</v>
      </c>
      <c r="K540" s="192" t="s">
        <v>603</v>
      </c>
      <c r="L540" s="192" t="s">
        <v>604</v>
      </c>
      <c r="M540" s="192" t="s">
        <v>605</v>
      </c>
      <c r="N540" s="192"/>
      <c r="O540" s="192"/>
      <c r="P540" s="192"/>
      <c r="Q540" s="192"/>
      <c r="R540" s="192"/>
    </row>
    <row r="541" spans="1:18" ht="13.15" customHeight="1" x14ac:dyDescent="0.25">
      <c r="A541" s="192" t="s">
        <v>1536</v>
      </c>
      <c r="B541" s="194"/>
      <c r="C541" s="192" t="s">
        <v>1537</v>
      </c>
      <c r="D541" s="192"/>
      <c r="E541" s="192"/>
      <c r="F541" s="193"/>
      <c r="G541" s="193"/>
      <c r="H541" s="192" t="s">
        <v>1538</v>
      </c>
      <c r="I541" s="192" t="s">
        <v>601</v>
      </c>
      <c r="J541" s="192" t="s">
        <v>1539</v>
      </c>
      <c r="K541" s="192" t="s">
        <v>1002</v>
      </c>
      <c r="L541" s="192" t="s">
        <v>604</v>
      </c>
      <c r="M541" s="192" t="s">
        <v>605</v>
      </c>
      <c r="N541" s="192" t="s">
        <v>1540</v>
      </c>
      <c r="O541" s="192"/>
      <c r="P541" s="192"/>
      <c r="Q541" s="192"/>
      <c r="R541" s="192" t="s">
        <v>1541</v>
      </c>
    </row>
  </sheetData>
  <autoFilter ref="A1:R541" xr:uid="{40793C59-E103-49AB-8547-741959925C53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ef21d3c-8d10-42d2-a73d-e847df22c988}" enabled="1" method="Standard" siteId="{d2bfb7fe-352c-4886-98a3-044da283af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Configurator (2)</vt:lpstr>
      <vt:lpstr>2.5.2025 Configurator</vt:lpstr>
      <vt:lpstr>1.7.2026 Configurator</vt:lpstr>
      <vt:lpstr>10.28.2025 Configurator</vt:lpstr>
      <vt:lpstr>9.9.2025 Configurator</vt:lpstr>
      <vt:lpstr>8.19.2025 Configurator</vt:lpstr>
      <vt:lpstr>6.23.2025 Configurator</vt:lpstr>
      <vt:lpstr>4.28.2025 Configurator</vt:lpstr>
      <vt:lpstr>EMEA Updated 2025</vt:lpstr>
      <vt:lpstr>March 2025</vt:lpstr>
      <vt:lpstr>Updated</vt:lpstr>
      <vt:lpstr>Master</vt:lpstr>
      <vt:lpstr>Margin Analysis</vt:lpstr>
      <vt:lpstr>Sheet1</vt:lpstr>
      <vt:lpstr>'EMEA Updated 2025'!Print_Area</vt:lpstr>
      <vt:lpstr>'March 2025'!Print_Area</vt:lpstr>
      <vt:lpstr>Updated!Print_Area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Smale</dc:creator>
  <dc:description/>
  <cp:lastModifiedBy>Chenla Long, Jr</cp:lastModifiedBy>
  <cp:revision>0</cp:revision>
  <dcterms:created xsi:type="dcterms:W3CDTF">2023-08-16T18:51:03Z</dcterms:created>
  <dcterms:modified xsi:type="dcterms:W3CDTF">2026-02-05T14:53:49Z</dcterms:modified>
  <dc:language>en-US</dc:language>
</cp:coreProperties>
</file>